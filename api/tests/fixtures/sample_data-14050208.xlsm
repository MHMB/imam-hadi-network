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DBAF2415-1AB8-4FA7-A007-62CD849D45D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سال 1404" sheetId="7" r:id="rId1"/>
    <sheet name="سال 1405" sheetId="10" r:id="rId2"/>
    <sheet name="موضوعات" sheetId="8" r:id="rId3"/>
    <sheet name="افراد" sheetId="9" r:id="rId4"/>
  </sheets>
  <functionGroups builtInGroupCount="19"/>
  <definedNames>
    <definedName name="_xlnm._FilterDatabase" localSheetId="0" hidden="1">'سال 1404'!$A$3:$O$31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0" roundtripDataChecksum="p++DUrzIPkLD+VNs2OlFuTCmXa3uQV07ri9o0X9nvp4="/>
    </ext>
  </extLst>
</workbook>
</file>

<file path=xl/calcChain.xml><?xml version="1.0" encoding="utf-8"?>
<calcChain xmlns="http://schemas.openxmlformats.org/spreadsheetml/2006/main">
  <c r="J23" i="9" l="1"/>
  <c r="K23" i="9"/>
  <c r="J20" i="9"/>
  <c r="J21" i="9"/>
  <c r="J22" i="9"/>
  <c r="K20" i="9"/>
  <c r="K21" i="9"/>
  <c r="K22" i="9"/>
  <c r="G7" i="10"/>
  <c r="F7" i="10"/>
  <c r="E7" i="10"/>
  <c r="D7" i="10"/>
  <c r="C7" i="10"/>
  <c r="B7" i="10"/>
  <c r="A7" i="10"/>
  <c r="G2" i="7" l="1"/>
  <c r="G1" i="7"/>
  <c r="N2" i="7"/>
  <c r="N1" i="7"/>
  <c r="K1" i="10"/>
  <c r="H1" i="10"/>
  <c r="C11" i="10"/>
  <c r="A11" i="10"/>
  <c r="G8" i="10"/>
  <c r="F8" i="10"/>
  <c r="E8" i="10"/>
  <c r="D8" i="10"/>
  <c r="C8" i="10"/>
  <c r="C9" i="10" s="1"/>
  <c r="B8" i="10"/>
  <c r="A8" i="10"/>
  <c r="A9" i="10" s="1"/>
  <c r="L3" i="10" a="1"/>
  <c r="L9" i="10" a="1"/>
  <c r="L11" i="10" a="1"/>
  <c r="L5" i="10" a="1"/>
  <c r="L6" i="10" a="1"/>
  <c r="L10" i="10" a="1"/>
  <c r="L8" i="10" a="1"/>
  <c r="L4" i="10" a="1"/>
  <c r="L7" i="10" a="1"/>
  <c r="D11" i="10" l="1"/>
  <c r="D9" i="10"/>
  <c r="E11" i="10"/>
  <c r="E9" i="10"/>
  <c r="B11" i="10"/>
  <c r="B9" i="10"/>
  <c r="G11" i="10"/>
  <c r="G9" i="10"/>
  <c r="F11" i="10"/>
  <c r="F9" i="10"/>
  <c r="L3" i="10"/>
  <c r="L9" i="10"/>
  <c r="L11" i="10"/>
  <c r="L8" i="10"/>
  <c r="L5" i="10"/>
  <c r="L10" i="10"/>
  <c r="L7" i="10"/>
  <c r="L4" i="10"/>
  <c r="L6" i="10"/>
  <c r="D4" i="10"/>
  <c r="E4" i="10"/>
  <c r="A4" i="10"/>
  <c r="G4" i="10"/>
  <c r="F4" i="10"/>
  <c r="C4" i="10"/>
  <c r="B4" i="10"/>
  <c r="B1" i="10" l="1"/>
  <c r="A1" i="10"/>
  <c r="L1" i="10"/>
  <c r="K15" i="9" l="1"/>
  <c r="K16" i="9"/>
  <c r="K7" i="9"/>
  <c r="K19" i="9"/>
  <c r="K18" i="9"/>
  <c r="J8" i="9"/>
  <c r="J14" i="9"/>
  <c r="J3" i="9"/>
  <c r="J5" i="9"/>
  <c r="J9" i="9"/>
  <c r="J13" i="9"/>
  <c r="J6" i="9"/>
  <c r="K17" i="9" l="1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K9" i="9"/>
  <c r="K14" i="9"/>
  <c r="B22" i="7"/>
  <c r="B24" i="7" s="1"/>
  <c r="B26" i="7" s="1"/>
  <c r="B28" i="7" s="1"/>
  <c r="B30" i="7" s="1"/>
  <c r="B14" i="7"/>
  <c r="B16" i="7" s="1"/>
  <c r="B6" i="7"/>
  <c r="B8" i="7" s="1"/>
  <c r="E22" i="7"/>
  <c r="E24" i="7" s="1"/>
  <c r="E26" i="7" s="1"/>
  <c r="E28" i="7" s="1"/>
  <c r="E30" i="7" s="1"/>
  <c r="E14" i="7"/>
  <c r="E16" i="7" s="1"/>
  <c r="E6" i="7"/>
  <c r="M21" i="9" l="1"/>
  <c r="N21" i="9" s="1"/>
  <c r="L20" i="9"/>
  <c r="E8" i="7"/>
  <c r="L23" i="9" s="1"/>
  <c r="C1" i="8"/>
  <c r="O14" i="7" a="1"/>
  <c r="O6" i="7" a="1"/>
  <c r="O12" i="7" a="1"/>
  <c r="O8" i="7" a="1"/>
  <c r="O22" i="7" a="1"/>
  <c r="O30" i="7" a="1"/>
  <c r="O26" i="7" a="1"/>
  <c r="O20" i="7" a="1"/>
  <c r="O28" i="7" a="1"/>
  <c r="O10" i="7" a="1"/>
  <c r="O24" i="7" a="1"/>
  <c r="O4" i="7" a="1"/>
  <c r="O18" i="7" a="1"/>
  <c r="O16" i="7" a="1"/>
  <c r="M20" i="9" l="1"/>
  <c r="N20" i="9" s="1"/>
  <c r="M22" i="9"/>
  <c r="N22" i="9" s="1"/>
  <c r="L22" i="9"/>
  <c r="L21" i="9"/>
  <c r="M23" i="9"/>
  <c r="N23" i="9" s="1"/>
  <c r="O22" i="7"/>
  <c r="K3" i="9" s="1"/>
  <c r="O24" i="7"/>
  <c r="O14" i="7"/>
  <c r="O6" i="7"/>
  <c r="K5" i="9" s="1"/>
  <c r="O28" i="7"/>
  <c r="O18" i="7"/>
  <c r="O26" i="7"/>
  <c r="K12" i="9" s="1"/>
  <c r="O12" i="7"/>
  <c r="K10" i="9" s="1"/>
  <c r="O4" i="7"/>
  <c r="O8" i="7"/>
  <c r="O16" i="7"/>
  <c r="K11" i="9" s="1"/>
  <c r="O20" i="7"/>
  <c r="O30" i="7"/>
  <c r="K13" i="9" s="1"/>
  <c r="O10" i="7"/>
  <c r="K6" i="9" l="1"/>
  <c r="K4" i="9"/>
  <c r="P2" i="7"/>
  <c r="O1" i="7"/>
  <c r="K8" i="9"/>
  <c r="O2" i="7"/>
  <c r="K1" i="9" l="1"/>
  <c r="L19" i="9" l="1"/>
  <c r="M19" i="9"/>
  <c r="L15" i="9"/>
  <c r="M5" i="9"/>
  <c r="L18" i="9"/>
  <c r="M13" i="9"/>
  <c r="L11" i="9"/>
  <c r="L3" i="9"/>
  <c r="L17" i="9"/>
  <c r="M9" i="9"/>
  <c r="M7" i="9"/>
  <c r="N7" i="9" s="1"/>
  <c r="L13" i="9"/>
  <c r="L4" i="9"/>
  <c r="M3" i="9"/>
  <c r="L10" i="9"/>
  <c r="M6" i="9"/>
  <c r="L9" i="9"/>
  <c r="M11" i="9"/>
  <c r="L8" i="9"/>
  <c r="L12" i="9"/>
  <c r="M15" i="9"/>
  <c r="M17" i="9"/>
  <c r="M4" i="9"/>
  <c r="N4" i="9" s="1"/>
  <c r="M18" i="9"/>
  <c r="M12" i="9"/>
  <c r="L6" i="9"/>
  <c r="L16" i="9"/>
  <c r="M14" i="9"/>
  <c r="M16" i="9"/>
  <c r="M10" i="9"/>
  <c r="L14" i="9"/>
  <c r="L7" i="9"/>
  <c r="M8" i="9"/>
  <c r="L5" i="9"/>
  <c r="F10" i="7" l="1"/>
  <c r="M20" i="7"/>
  <c r="N3" i="9"/>
  <c r="F4" i="7" s="1"/>
  <c r="M1" i="9"/>
  <c r="L1" i="9"/>
  <c r="N5" i="9"/>
  <c r="N10" i="9"/>
  <c r="N12" i="9"/>
  <c r="N18" i="9"/>
  <c r="N11" i="9"/>
  <c r="J7" i="9" s="1"/>
  <c r="M4" i="7"/>
  <c r="N6" i="9"/>
  <c r="N9" i="9"/>
  <c r="N19" i="9"/>
  <c r="N14" i="9"/>
  <c r="N17" i="9"/>
  <c r="N13" i="9"/>
  <c r="M8" i="7"/>
  <c r="N16" i="9"/>
  <c r="N15" i="9"/>
  <c r="N8" i="9"/>
  <c r="F8" i="7" l="1"/>
  <c r="M16" i="7"/>
  <c r="F28" i="7"/>
  <c r="M12" i="7"/>
  <c r="F30" i="7"/>
  <c r="F24" i="7"/>
  <c r="M24" i="7"/>
  <c r="F16" i="7"/>
  <c r="M26" i="7"/>
  <c r="M10" i="7"/>
  <c r="F6" i="7"/>
  <c r="M14" i="7"/>
  <c r="M28" i="7"/>
  <c r="M30" i="7"/>
  <c r="F26" i="7"/>
  <c r="F22" i="7"/>
  <c r="F18" i="7"/>
  <c r="F20" i="7"/>
  <c r="M22" i="7"/>
  <c r="M6" i="7"/>
  <c r="F12" i="7"/>
  <c r="F14" i="7"/>
  <c r="M18" i="7"/>
  <c r="N1" i="9"/>
  <c r="J18" i="9"/>
  <c r="J4" i="9"/>
  <c r="J10" i="9"/>
  <c r="J19" i="9"/>
  <c r="J15" i="9"/>
  <c r="J17" i="9"/>
  <c r="J12" i="9"/>
  <c r="J11" i="9"/>
  <c r="J16" i="9"/>
  <c r="J1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<sst xmlns="http://schemas.openxmlformats.org/spreadsheetml/2006/main" count="212" uniqueCount="137">
  <si>
    <t>ردیف</t>
  </si>
  <si>
    <t>ش</t>
  </si>
  <si>
    <t xml:space="preserve">ش.کانال </t>
  </si>
  <si>
    <t>رابط</t>
  </si>
  <si>
    <t>مجموع</t>
  </si>
  <si>
    <t>قرض گیرنده</t>
  </si>
  <si>
    <t>توضیحات</t>
  </si>
  <si>
    <t>ضامن</t>
  </si>
  <si>
    <t>خیر</t>
  </si>
  <si>
    <t>مبلغ</t>
  </si>
  <si>
    <t>مانده</t>
  </si>
  <si>
    <t>بدهی</t>
  </si>
  <si>
    <t>تولد فرزند</t>
  </si>
  <si>
    <t>سرمایه گذاری</t>
  </si>
  <si>
    <t>کسب و کار</t>
  </si>
  <si>
    <t>وام</t>
  </si>
  <si>
    <t>خانه</t>
  </si>
  <si>
    <t>ازدواج</t>
  </si>
  <si>
    <t>امور جاری</t>
  </si>
  <si>
    <t>عتبات</t>
  </si>
  <si>
    <t>جمع</t>
  </si>
  <si>
    <t>ش ر</t>
  </si>
  <si>
    <t>روابط</t>
  </si>
  <si>
    <t>توضیح</t>
  </si>
  <si>
    <t>اسفند04</t>
  </si>
  <si>
    <t>اردیبهشت05</t>
  </si>
  <si>
    <t>فروردین04</t>
  </si>
  <si>
    <t>اردیبهشت04</t>
  </si>
  <si>
    <t>خرداد04</t>
  </si>
  <si>
    <t>تیر04</t>
  </si>
  <si>
    <t>مرداد04</t>
  </si>
  <si>
    <t>شهریور04</t>
  </si>
  <si>
    <t>مهر04</t>
  </si>
  <si>
    <t>آبان04</t>
  </si>
  <si>
    <t>آذر04</t>
  </si>
  <si>
    <t>دی04</t>
  </si>
  <si>
    <t>بهمن04</t>
  </si>
  <si>
    <t>فروردین05</t>
  </si>
  <si>
    <t>خرداد05</t>
  </si>
  <si>
    <t>تیر05</t>
  </si>
  <si>
    <t>مرداد05</t>
  </si>
  <si>
    <t>شهریور05</t>
  </si>
  <si>
    <t>مهر05</t>
  </si>
  <si>
    <t>آبان05</t>
  </si>
  <si>
    <t>آذر05</t>
  </si>
  <si>
    <t>دی05</t>
  </si>
  <si>
    <t>بهمن05</t>
  </si>
  <si>
    <t>اسفند05</t>
  </si>
  <si>
    <t>فروردین 06</t>
  </si>
  <si>
    <t>اردیبهشت 06</t>
  </si>
  <si>
    <t>موضوع</t>
  </si>
  <si>
    <t>کار فرهنگی</t>
  </si>
  <si>
    <t>درمان</t>
  </si>
  <si>
    <t>نامعلوم</t>
  </si>
  <si>
    <t>وسیله نقلیه</t>
  </si>
  <si>
    <t>زیارت</t>
  </si>
  <si>
    <t>موضوعات</t>
  </si>
  <si>
    <t>کالای دیجیتال</t>
  </si>
  <si>
    <t>از کار افتادگی</t>
  </si>
  <si>
    <t>آموزشی</t>
  </si>
  <si>
    <t>num</t>
  </si>
  <si>
    <t>نام و نام خانوادگی</t>
  </si>
  <si>
    <t>تایید</t>
  </si>
  <si>
    <t>سرمایه</t>
  </si>
  <si>
    <t>مانده طلبکاری</t>
  </si>
  <si>
    <t>مجموع قرض گرفته شده</t>
  </si>
  <si>
    <t>مانده بدهی</t>
  </si>
  <si>
    <t>سرمایه نزد صندوق</t>
  </si>
  <si>
    <t>شماره تماس</t>
  </si>
  <si>
    <t>پیامرسان</t>
  </si>
  <si>
    <t>مقدار قرض داده شده</t>
  </si>
  <si>
    <t>رابط/ضامن-اصلی</t>
  </si>
  <si>
    <t>رابط/ضامن-4</t>
  </si>
  <si>
    <t>رابط/ضامن-3</t>
  </si>
  <si>
    <t>رابط/ضامن-2</t>
  </si>
  <si>
    <t>#ش</t>
  </si>
  <si>
    <t>#شماره</t>
  </si>
  <si>
    <t>فروردین</t>
  </si>
  <si>
    <t>اردیبهشت</t>
  </si>
  <si>
    <t>خرداد</t>
  </si>
  <si>
    <t>تیر</t>
  </si>
  <si>
    <t>مرداد</t>
  </si>
  <si>
    <t>شهریور</t>
  </si>
  <si>
    <t>مهر</t>
  </si>
  <si>
    <t>آبان</t>
  </si>
  <si>
    <t>آذر</t>
  </si>
  <si>
    <t>دی</t>
  </si>
  <si>
    <t>بهمن</t>
  </si>
  <si>
    <t>اسفند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</si>
  <si>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</si>
  <si>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</si>
  <si>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</si>
  <si>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</si>
  <si>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</si>
  <si>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</si>
  <si>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</si>
  <si>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</si>
  <si>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</si>
  <si>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</si>
  <si>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</si>
  <si>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</si>
  <si>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قرض دهنده</t>
  </si>
  <si>
    <t>فروردین06</t>
  </si>
  <si>
    <t>13</t>
  </si>
  <si>
    <t>اردیبهشت06</t>
  </si>
  <si>
    <t>14</t>
  </si>
  <si>
    <t>خرداد06</t>
  </si>
  <si>
    <t>15</t>
  </si>
  <si>
    <t>تیر06</t>
  </si>
  <si>
    <t>16</t>
  </si>
  <si>
    <t>مرداد06</t>
  </si>
  <si>
    <t>17</t>
  </si>
  <si>
    <t>سید</t>
  </si>
  <si>
    <t>آشنای علی</t>
  </si>
  <si>
    <t>معرفی توسط حسین</t>
  </si>
  <si>
    <t>اجاره خانه ی وانتی</t>
  </si>
  <si>
    <t>نفر 1</t>
  </si>
  <si>
    <t>نفر 2</t>
  </si>
  <si>
    <t>نفر 3</t>
  </si>
  <si>
    <t>نفر 4</t>
  </si>
  <si>
    <t>نفر 5</t>
  </si>
  <si>
    <t>نفر 6</t>
  </si>
  <si>
    <t>نفر 7</t>
  </si>
  <si>
    <t>نفر 8</t>
  </si>
  <si>
    <t>نفر 9</t>
  </si>
  <si>
    <t>نفر 10</t>
  </si>
  <si>
    <t>نفر 11</t>
  </si>
  <si>
    <t>نفر 12</t>
  </si>
  <si>
    <t>نفر 13</t>
  </si>
  <si>
    <t>نفر 14</t>
  </si>
  <si>
    <t>نفر 15</t>
  </si>
  <si>
    <t>نفر 16</t>
  </si>
  <si>
    <t>نفر 17</t>
  </si>
  <si>
    <t>نفر 20</t>
  </si>
  <si>
    <t>نفر 21</t>
  </si>
  <si>
    <t>نفر 18</t>
  </si>
  <si>
    <t>نفر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</si>
</sst>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theme="0"/>
      <name val="Calibri"/>
    </font>
    <font>
      <sz val="11"/>
      <name val="Calibri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50"/>
        <bgColor rgb="FF00B050"/>
      </patternFill>
    </fill>
    <fill>
      <patternFill patternType="solid">
        <fgColor rgb="FF00B0F0"/>
        <bgColor rgb="FF00B0F0"/>
      </patternFill>
    </fill>
    <fill>
      <patternFill patternType="solid">
        <fgColor rgb="FF0070C0"/>
        <bgColor rgb="FF0070C0"/>
      </patternFill>
    </fill>
    <fill>
      <patternFill patternType="solid">
        <fgColor rgb="FFBDD6EE"/>
        <bgColor rgb="FFBDD6EE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9CC2E5"/>
      </right>
      <top/>
      <bottom style="thin">
        <color rgb="FF9BC2E6"/>
      </bottom>
      <diagonal/>
    </border>
    <border>
      <left/>
      <right/>
      <top style="thin">
        <color rgb="FF9CC2E5"/>
      </top>
      <bottom/>
      <diagonal/>
    </border>
    <border>
      <left/>
      <right/>
      <top style="thin">
        <color rgb="FF9CC2E5"/>
      </top>
      <bottom/>
      <diagonal/>
    </border>
    <border>
      <left/>
      <right/>
      <top/>
      <bottom style="thin">
        <color rgb="FF9BC2E6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 applyFont="1" applyAlignment="1"/>
    <xf numFmtId="0" fontId="4" fillId="4" borderId="7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9" xfId="0" applyNumberFormat="1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0" fillId="0" borderId="0" xfId="0" applyFont="1" applyAlignment="1"/>
    <xf numFmtId="0" fontId="12" fillId="0" borderId="9" xfId="0" applyFont="1" applyFill="1" applyBorder="1" applyAlignment="1">
      <alignment horizontal="center" vertical="center"/>
    </xf>
    <xf numFmtId="0" fontId="12" fillId="0" borderId="9" xfId="0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0" fillId="0" borderId="6" xfId="0" applyFont="1" applyBorder="1" applyAlignment="1">
      <alignment horizontal="center" vertical="center" readingOrder="2"/>
    </xf>
    <xf numFmtId="0" fontId="0" fillId="6" borderId="6" xfId="0" applyFont="1" applyFill="1" applyBorder="1" applyAlignment="1">
      <alignment horizontal="center" vertical="center" readingOrder="2"/>
    </xf>
    <xf numFmtId="0" fontId="0" fillId="0" borderId="6" xfId="0" applyFont="1" applyFill="1" applyBorder="1" applyAlignment="1">
      <alignment horizontal="center" vertical="center" readingOrder="2"/>
    </xf>
    <xf numFmtId="0" fontId="0" fillId="7" borderId="6" xfId="0" applyFont="1" applyFill="1" applyBorder="1" applyAlignment="1">
      <alignment horizontal="center" vertical="center" readingOrder="2"/>
    </xf>
    <xf numFmtId="0" fontId="0" fillId="10" borderId="6" xfId="0" applyFont="1" applyFill="1" applyBorder="1" applyAlignment="1">
      <alignment horizontal="center" vertical="center" readingOrder="2"/>
    </xf>
    <xf numFmtId="0" fontId="0" fillId="11" borderId="6" xfId="0" applyFont="1" applyFill="1" applyBorder="1" applyAlignment="1">
      <alignment horizontal="center" vertical="center" readingOrder="2"/>
    </xf>
    <xf numFmtId="0" fontId="0" fillId="0" borderId="6" xfId="0" applyNumberFormat="1" applyFont="1" applyBorder="1" applyAlignment="1">
      <alignment horizontal="center" vertical="center" readingOrder="2"/>
    </xf>
    <xf numFmtId="0" fontId="3" fillId="0" borderId="1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9" borderId="11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</cellXfs>
  <cellStyles count="1">
    <cellStyle name="Normal" xfId="0" builtinId="0"/>
  </cellStyles>
  <dxfs count="113">
    <dxf>
      <font>
        <strike val="0"/>
        <outline val="0"/>
        <shadow val="0"/>
        <u val="none"/>
        <vertAlign val="baseline"/>
        <sz val="11"/>
        <color auto="1"/>
        <name val="Calibri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rgb="FF00B0F0"/>
          <bgColor rgb="FF00B0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صندوق از ۱۵ خرداد 1401-style" pivot="0" count="4" xr9:uid="{00000000-0011-0000-FFFF-FFFF00000000}">
      <tableStyleElement type="headerRow" dxfId="112"/>
      <tableStyleElement type="totalRow" dxfId="111"/>
      <tableStyleElement type="firstRowStripe" dxfId="110"/>
      <tableStyleElement type="secondRowStripe" dxfId="109"/>
    </tableStyle>
    <tableStyle name="سال 1402-style" pivot="0" count="4" xr9:uid="{00000000-0011-0000-FFFF-FFFF01000000}">
      <tableStyleElement type="headerRow" dxfId="108"/>
      <tableStyleElement type="totalRow" dxfId="107"/>
      <tableStyleElement type="firstRowStripe" dxfId="106"/>
      <tableStyleElement type="secondRowStripe" dxfId="105"/>
    </tableStyle>
    <tableStyle name="سال 1403-style" pivot="0" count="4" xr9:uid="{00000000-0011-0000-FFFF-FFFF02000000}">
      <tableStyleElement type="headerRow" dxfId="104"/>
      <tableStyleElement type="totalRow" dxfId="103"/>
      <tableStyleElement type="firstRowStripe" dxfId="102"/>
      <tableStyleElement type="secondRowStripe" dxfId="10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DCA847-2CAF-4438-8DCA-D8EAD31C71ED}" name="Table4" displayName="Table4" ref="P3:AO31" headerRowDxfId="100" dataDxfId="98" totalsRowDxfId="97" headerRowBorderDxfId="99">
  <autoFilter ref="P3:AO31" xr:uid="{33DCA847-2CAF-4438-8DCA-D8EAD31C71ED}"/>
  <tableColumns count="26">
    <tableColumn id="1" xr3:uid="{6C5A32EC-A60B-41A3-92CD-742A38EB00C2}" name="فروردین04" totalsRowLabel="Total" dataDxfId="96"/>
    <tableColumn id="2" xr3:uid="{116F6BED-7C21-45AD-B1D4-3AE3332FF195}" name="اردیبهشت04" dataDxfId="95"/>
    <tableColumn id="3" xr3:uid="{ABAEE2F6-AA4F-4364-BFBB-51E8661FFCA9}" name="خرداد04" dataDxfId="94"/>
    <tableColumn id="4" xr3:uid="{10393B8E-8EF5-4A28-9F92-3B645AA8467B}" name="تیر04" dataDxfId="93"/>
    <tableColumn id="5" xr3:uid="{64BAA34F-08C4-4CB8-B53A-938CA4DFDA9F}" name="مرداد04" dataDxfId="92"/>
    <tableColumn id="6" xr3:uid="{1378E64F-CDCE-4EC1-A1B7-D8E1BD587DA7}" name="شهریور04" dataDxfId="91"/>
    <tableColumn id="7" xr3:uid="{06A1A3DD-5089-4D83-8927-46367BA5BFEA}" name="مهر04" dataDxfId="90"/>
    <tableColumn id="8" xr3:uid="{7F25FC13-D596-4D87-93BC-C06D16719671}" name="آبان04" dataDxfId="89"/>
    <tableColumn id="9" xr3:uid="{BE412232-45A8-4D56-84B9-72EFEB25DE96}" name="آذر04" dataDxfId="88"/>
    <tableColumn id="10" xr3:uid="{9279AC2A-45E1-4C40-9E9C-0200763BE1C3}" name="دی04" dataDxfId="87"/>
    <tableColumn id="11" xr3:uid="{CE66AB8C-6CE8-4788-A70E-43E578BAB9B9}" name="بهمن04" dataDxfId="86"/>
    <tableColumn id="12" xr3:uid="{43C8A8CA-9343-4F38-8556-0848D839A28A}" name="اسفند04" dataDxfId="85"/>
    <tableColumn id="13" xr3:uid="{8027A263-29D1-4C66-9381-3B21E3529F05}" name="فروردین05" dataDxfId="84"/>
    <tableColumn id="14" xr3:uid="{94BF7F68-F457-42B4-A370-8C1C7F7F4251}" name="اردیبهشت05" dataDxfId="83"/>
    <tableColumn id="15" xr3:uid="{7FE5271A-8465-40E0-BE04-B26AD911DA30}" name="خرداد05" dataDxfId="82"/>
    <tableColumn id="16" xr3:uid="{8EF453E3-2E8D-47CB-8574-936D64B58317}" name="تیر05" dataDxfId="81"/>
    <tableColumn id="17" xr3:uid="{BD12B4B9-A978-4156-93B8-83E8E64FF7A2}" name="مرداد05" dataDxfId="80"/>
    <tableColumn id="18" xr3:uid="{0DA6B9C0-92A6-41EF-9E66-319B9E65C5F4}" name="شهریور05" dataDxfId="79"/>
    <tableColumn id="19" xr3:uid="{ACADCCA0-1422-4713-B9EF-76C989F1E00B}" name="مهر05" dataDxfId="78"/>
    <tableColumn id="20" xr3:uid="{9F9130C7-27A8-4C24-8B48-F96DDD06F216}" name="آبان05" dataDxfId="77"/>
    <tableColumn id="21" xr3:uid="{617A9863-AECC-4C71-BFF9-82944E0143C6}" name="آذر05" dataDxfId="76"/>
    <tableColumn id="22" xr3:uid="{BCB34723-9ABF-446B-9906-54B153C8008C}" name="دی05" dataDxfId="75"/>
    <tableColumn id="23" xr3:uid="{A681A57F-1E8E-4FC6-8FD4-E5E3C95BC16E}" name="بهمن05" dataDxfId="74"/>
    <tableColumn id="24" xr3:uid="{9ECFADE5-EED9-477B-ADAA-9CC416E3000B}" name="اسفند05" dataDxfId="73"/>
    <tableColumn id="25" xr3:uid="{D438F4DC-05D8-49E6-B11E-984F5C4DD150}" name="فروردین 06" dataDxfId="72"/>
    <tableColumn id="26" xr3:uid="{4202D287-8513-47ED-A15E-574C60088C2E}" name="اردیبهشت 06" totalsRowFunction="count" dataDxfId="71"/>
  </tableColumns>
  <tableStyleInfo name="صندوق از ۱۵ خرداد 1401-style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E30E05-7774-43B8-BEC5-D84DE3542066}" name="Table7" displayName="Table7" ref="A2:AT11" totalsRowShown="0" headerRowDxfId="70" dataDxfId="69">
  <autoFilter ref="A2:AT11" xr:uid="{85E30E05-7774-43B8-BEC5-D84DE3542066}"/>
  <tableColumns count="46">
    <tableColumn id="1" xr3:uid="{24A107AB-FE40-4768-ABF8-D073E0F17720}" name="ردیف" dataDxfId="68"/>
    <tableColumn id="2" xr3:uid="{D55A114E-134C-4D88-A1A1-9053EA1792D0}" name="#ش" dataDxfId="67"/>
    <tableColumn id="3" xr3:uid="{075CF1D5-BBB0-483B-9C90-E0D7A6A14AF4}" name="#شماره" dataDxfId="66"/>
    <tableColumn id="4" xr3:uid="{237C5A10-018B-4D5B-A623-092A89CCAE2B}" name="موضوع" dataDxfId="65"/>
    <tableColumn id="5" xr3:uid="{F6B55764-16DC-424F-92D7-FB9D0B2A032F}" name="رابط" dataDxfId="64"/>
    <tableColumn id="6" xr3:uid="{55E998B7-E2F5-4A2B-9285-B09A74FDC51F}" name="ضامن" dataDxfId="63"/>
    <tableColumn id="7" xr3:uid="{E51BE1D1-D3A7-43A7-A46D-1EF29D60DCD0}" name="قرض گیرنده" dataDxfId="62"/>
    <tableColumn id="8" xr3:uid="{630F46B1-43DA-4B60-AAA0-25A8D492B7B1}" name="مجموع" dataDxfId="61"/>
    <tableColumn id="9" xr3:uid="{C3F213C0-7F4A-4B1D-BDEC-10E0CEAEEFA1}" name="توضیح" dataDxfId="60"/>
    <tableColumn id="10" xr3:uid="{B4281DCF-B748-4CDF-8F8E-6BACBCF35902}" name="قرض دهنده" dataDxfId="59"/>
    <tableColumn id="11" xr3:uid="{F7BEA5ED-D476-429F-AE86-F87D6675F5A3}" name="مبلغ" dataDxfId="58"/>
    <tableColumn id="12" xr3:uid="{F106F171-DCD7-4FE4-9B52-D25EC54DEB3C}" name="مانده" dataDxfId="57">
      <calculatedColumnFormula array="1">Table7[[#This Row],[مبلغ]]-SumifColor(Table7[[#This Row],[1]:[12]],$J$1,Table7[[#This Row],[1]:[12]])</calculatedColumnFormula>
    </tableColumn>
    <tableColumn id="13" xr3:uid="{17621DDD-C043-45AD-948E-12A6A8881D22}" name="فروردین" dataDxfId="56"/>
    <tableColumn id="14" xr3:uid="{E9779D0F-4AC2-462F-A5C0-4C7B90593B14}" name="1" dataDxfId="55"/>
    <tableColumn id="15" xr3:uid="{224E9890-8911-4CE1-8D15-A78E80DAE5F7}" name="اردیبهشت" dataDxfId="54"/>
    <tableColumn id="16" xr3:uid="{7EAE2EC6-E6F6-4674-85F6-DBD1A8B32119}" name="2" dataDxfId="53"/>
    <tableColumn id="17" xr3:uid="{20A559A0-DDF8-4914-9FB2-7C2F6DD49298}" name="خرداد" dataDxfId="52"/>
    <tableColumn id="18" xr3:uid="{241F898D-11AE-4715-9344-142AB554B0D0}" name="3" dataDxfId="51"/>
    <tableColumn id="19" xr3:uid="{88E5A100-DF24-4EAD-B942-2718A47B84DC}" name="تیر" dataDxfId="50"/>
    <tableColumn id="20" xr3:uid="{4ADE7BB2-2CE3-4B21-9977-81CB0FDF8944}" name="4" dataDxfId="49"/>
    <tableColumn id="21" xr3:uid="{01A4971C-591B-4AFC-B185-742DD1BFCA70}" name="مرداد" dataDxfId="48"/>
    <tableColumn id="22" xr3:uid="{3044AD4E-12EA-42D5-AB44-696C4D4E6EA9}" name="5" dataDxfId="47"/>
    <tableColumn id="23" xr3:uid="{16DE9EEC-5D76-4B90-9556-3D7E193B79FB}" name="شهریور" dataDxfId="46"/>
    <tableColumn id="24" xr3:uid="{647E67DC-4E08-4DA5-B10D-9A50B226EDF5}" name="6" dataDxfId="45"/>
    <tableColumn id="25" xr3:uid="{51C7A064-F374-4A07-8FF3-F510DFC965BF}" name="مهر" dataDxfId="44"/>
    <tableColumn id="26" xr3:uid="{7FD9AFE3-EE6C-4BF0-BED3-826488B26119}" name="7" dataDxfId="43"/>
    <tableColumn id="27" xr3:uid="{F878A734-156B-45A4-8A38-96BC68EB9048}" name="آبان" dataDxfId="42"/>
    <tableColumn id="28" xr3:uid="{0ACB0E4A-0D59-4263-B5FF-F1BC1359205D}" name="8" dataDxfId="41"/>
    <tableColumn id="29" xr3:uid="{8BFC30B6-3C4C-4408-893E-06D5AC8BC513}" name="آذر" dataDxfId="40"/>
    <tableColumn id="30" xr3:uid="{E5C5B8CE-135D-4A32-8B9F-7CED4D5F8C0C}" name="9" dataDxfId="39"/>
    <tableColumn id="31" xr3:uid="{81C182AF-0B12-4521-B049-178542A4F24D}" name="دی" dataDxfId="38"/>
    <tableColumn id="32" xr3:uid="{FF35521F-529E-4E90-ABB7-05404B34CC73}" name="10" dataDxfId="37"/>
    <tableColumn id="33" xr3:uid="{EAB8A18E-4A61-4CAC-AE74-FB6CDA69987A}" name="بهمن" dataDxfId="36"/>
    <tableColumn id="34" xr3:uid="{8F0CE897-306E-4290-BA12-DFF274F7DA7C}" name="11" dataDxfId="35"/>
    <tableColumn id="35" xr3:uid="{6F0B8AE6-DB4D-43C4-A61A-2AD63B050594}" name="اسفند" dataDxfId="34"/>
    <tableColumn id="36" xr3:uid="{F8A0BC4E-340D-4BF6-919A-E090C85AD27E}" name="12" dataDxfId="33"/>
    <tableColumn id="37" xr3:uid="{4987C006-38F3-4C96-8BCE-FFA3C98CFDFD}" name="فروردین06" dataDxfId="32"/>
    <tableColumn id="38" xr3:uid="{60804054-7FEE-4ADB-84CD-A736681FB1FF}" name="13" dataDxfId="31"/>
    <tableColumn id="39" xr3:uid="{E29553B6-8D78-4E19-BD2E-AB6F30C53B4F}" name="اردیبهشت06" dataDxfId="30"/>
    <tableColumn id="40" xr3:uid="{DD1E4B20-1CE4-4069-A280-6D0F5899DE41}" name="14" dataDxfId="29"/>
    <tableColumn id="41" xr3:uid="{BCE92CE8-3272-47AA-B4A3-874777815FF5}" name="خرداد06" dataDxfId="28"/>
    <tableColumn id="42" xr3:uid="{21F9649D-8B95-4118-8A9D-C142FDE156F8}" name="15" dataDxfId="27"/>
    <tableColumn id="43" xr3:uid="{B9ADDF2E-60A2-4C04-81BD-5C88958C2DBF}" name="تیر06" dataDxfId="26"/>
    <tableColumn id="44" xr3:uid="{CDE0644E-0BC4-4A07-9262-CA9B8DF09D0A}" name="16" dataDxfId="25"/>
    <tableColumn id="45" xr3:uid="{47EF0BE9-AC2D-4EDA-AF49-2E17DC305675}" name="مرداد06" dataDxfId="24"/>
    <tableColumn id="46" xr3:uid="{F67D31F1-F7B8-4B42-AE3A-73955FBE8650}" name="17" dataDxfId="23"/>
  </tableColumns>
  <tableStyleInfo name="صندوق از ۱۵ خرداد 1401-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F27659-EB1D-49B0-A745-21148AA35EC0}" name="titles" displayName="titles" ref="A2:C22" totalsRowShown="0" headerRowDxfId="22" dataDxfId="21">
  <autoFilter ref="A2:C22" xr:uid="{B2F27659-EB1D-49B0-A745-21148AA35EC0}"/>
  <sortState xmlns:xlrd2="http://schemas.microsoft.com/office/spreadsheetml/2017/richdata2" ref="A3:B22">
    <sortCondition ref="B2:B22"/>
  </sortState>
  <tableColumns count="3">
    <tableColumn id="1" xr3:uid="{C5C6B12E-5554-4590-A321-6D761B0F4F85}" name="num" dataDxfId="20"/>
    <tableColumn id="2" xr3:uid="{74768D9E-C391-4330-B458-E899A8CFDB89}" name="موضوعات" dataDxfId="19"/>
    <tableColumn id="3" xr3:uid="{82101FD3-77E4-45A5-8FA4-D2FD3C7B1842}" name="مجموع" dataDxfId="18">
      <calculatedColumnFormula>SUMIFS('سال 1404'!G$4:G$31,'سال 1404'!H$4:H$31,titles[[#This Row],[موضوعات]])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0E684F-10E0-4FC6-BEFB-BC7C9CCB6E98}" name="person" displayName="person" ref="B2:N23" headerRowDxfId="15" dataDxfId="14" totalsRowDxfId="13">
  <autoFilter ref="B2:N23" xr:uid="{740E684F-10E0-4FC6-BEFB-BC7C9CCB6E98}"/>
  <sortState xmlns:xlrd2="http://schemas.microsoft.com/office/spreadsheetml/2017/richdata2" ref="B3:N19">
    <sortCondition ref="B2:B19"/>
  </sortState>
  <tableColumns count="13">
    <tableColumn id="2" xr3:uid="{D180E630-E752-485D-B22C-848C43FBFF38}" name="نام و نام خانوادگی" totalsRowLabel="Total" dataDxfId="12"/>
    <tableColumn id="9" xr3:uid="{5EFB55FA-DF64-46BC-B3E7-6FBC9ACF6EB0}" name="شماره تماس" dataDxfId="11"/>
    <tableColumn id="10" xr3:uid="{89F3FC41-F34D-4643-966F-A1670739E741}" name="پیامرسان" dataDxfId="10"/>
    <tableColumn id="16" xr3:uid="{FDA0C99E-5A29-496C-B223-8F7CC419871B}" name="رابط/ضامن-4" dataDxfId="9"/>
    <tableColumn id="15" xr3:uid="{9ADDBF7D-4C48-4FC6-8D7F-326A32781983}" name="رابط/ضامن-3" dataDxfId="8"/>
    <tableColumn id="14" xr3:uid="{69B8DDBC-3E51-433C-8FD3-25266DC9F207}" name="رابط/ضامن-2" dataDxfId="7"/>
    <tableColumn id="11" xr3:uid="{7A3A46C4-0AEA-40AC-967D-D581C1258E18}" name="رابط/ضامن-اصلی" dataDxfId="6"/>
    <tableColumn id="3" xr3:uid="{8EAC4320-6B72-4BE2-9514-4AB78E183416}" name="تایید" dataDxfId="5"/>
    <tableColumn id="5" xr3:uid="{82FE516F-6FDB-4100-8975-AAA5EA6CAA2F}" name="مقدار قرض داده شده" dataDxfId="4">
      <calculatedColumnFormula>SUMIFS('سال 1404'!O4:O31,'سال 1404'!L4:L31,N7)</calculatedColumnFormula>
    </tableColumn>
    <tableColumn id="1" xr3:uid="{138C39FD-1CFF-47C1-A773-F29DF6568CE5}" name="مانده طلبکاری" dataDxfId="3">
      <calculatedColumnFormula>SUMIFS('سال 1404'!O$4:O$31,'سال 1404'!L$4:L$31,person[[#This Row],[نام و نام خانوادگی]])</calculatedColumnFormula>
    </tableColumn>
    <tableColumn id="6" xr3:uid="{E7D1B5FA-56D5-4F46-B2BA-2A9AD4E0A54B}" name="مجموع قرض گرفته شده" dataDxfId="2">
      <calculatedColumnFormula>SUMIFS('سال 1404'!N$4:N$31,'سال 1404'!E$4:E$31,person[[#This Row],[نام و نام خانوادگی]])</calculatedColumnFormula>
    </tableColumn>
    <tableColumn id="7" xr3:uid="{CB1F993C-981C-4581-A188-8F34975221A3}" name="مانده بدهی" dataDxfId="1">
      <calculatedColumnFormula>SUMIFS('سال 1404'!O$4:O$31,'سال 1404'!E$4:E$31,person[[#This Row],[نام و نام خانوادگی]])</calculatedColumnFormula>
    </tableColumn>
    <tableColumn id="8" xr3:uid="{D67093C0-050B-42F1-A289-2B9D0720B431}" name="سرمایه نزد صندوق" totalsRowFunction="sum" dataDxfId="0">
      <calculatedColumnFormula>person[[#This Row],[مانده طلبکاری]]-person[[#This Row],[مانده بدهی]]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28592-D952-482F-8F96-696A164FBE6B}">
  <dimension ref="A1:AO31"/>
  <sheetViews>
    <sheetView rightToLeft="1" zoomScaleNormal="100" workbookViewId="0">
      <pane xSplit="7" ySplit="3" topLeftCell="H10" activePane="bottomRight" state="frozen"/>
      <selection pane="topRight" activeCell="H1" sqref="H1"/>
      <selection pane="bottomLeft" activeCell="A4" sqref="A4"/>
      <selection pane="bottomRight" activeCell="M30" sqref="M30:M31"/>
    </sheetView>
  </sheetViews>
  <sheetFormatPr defaultRowHeight="14.4" outlineLevelCol="1"/>
  <cols>
    <col min="1" max="1" width="5.5546875" style="11" customWidth="1"/>
    <col min="2" max="2" width="6.33203125" style="11" customWidth="1"/>
    <col min="3" max="3" width="6.6640625" style="11" customWidth="1"/>
    <col min="4" max="4" width="7.21875" style="11" customWidth="1"/>
    <col min="5" max="5" width="18.21875" style="32" customWidth="1"/>
    <col min="6" max="6" width="9.88671875" style="32" customWidth="1"/>
    <col min="7" max="7" width="7.21875" style="11" customWidth="1"/>
    <col min="8" max="8" width="10.44140625" style="11" customWidth="1"/>
    <col min="9" max="9" width="16.33203125" style="11" customWidth="1"/>
    <col min="10" max="10" width="3.77734375" style="11" customWidth="1"/>
    <col min="11" max="11" width="6.33203125" style="11" customWidth="1"/>
    <col min="12" max="12" width="19.5546875" style="30" customWidth="1"/>
    <col min="13" max="13" width="8.21875" style="30" customWidth="1"/>
    <col min="14" max="14" width="7.33203125" style="11" customWidth="1"/>
    <col min="15" max="15" width="7.21875" style="11" customWidth="1"/>
    <col min="16" max="16" width="10.5546875" style="11" customWidth="1" outlineLevel="1"/>
    <col min="17" max="17" width="12.109375" style="11" customWidth="1" outlineLevel="1"/>
    <col min="18" max="18" width="8.88671875" style="11" customWidth="1" outlineLevel="1"/>
    <col min="19" max="20" width="8.88671875" style="11" customWidth="1"/>
    <col min="21" max="21" width="10.21875" style="11" customWidth="1"/>
    <col min="22" max="26" width="8.88671875" style="11" customWidth="1"/>
    <col min="27" max="27" width="9.109375" style="11" customWidth="1"/>
    <col min="28" max="28" width="10.5546875" style="11" customWidth="1"/>
    <col min="29" max="29" width="12.109375" style="11" customWidth="1"/>
    <col min="30" max="32" width="8.88671875" style="11"/>
    <col min="33" max="33" width="10.21875" style="11" customWidth="1"/>
    <col min="34" max="38" width="8.88671875" style="11"/>
    <col min="39" max="39" width="9.109375" style="11" customWidth="1"/>
    <col min="40" max="40" width="11" style="11" customWidth="1"/>
    <col min="41" max="41" width="12.5546875" style="11" customWidth="1"/>
    <col min="42" max="16384" width="8.88671875" style="11"/>
  </cols>
  <sheetData>
    <row r="1" spans="1:41" ht="12" customHeight="1">
      <c r="A1" s="1"/>
      <c r="B1" s="1"/>
      <c r="C1" s="1"/>
      <c r="D1" s="1"/>
      <c r="E1" s="1"/>
      <c r="F1" s="1"/>
      <c r="G1" s="1">
        <f>SUM(G4:G31)</f>
        <v>72</v>
      </c>
      <c r="H1" s="1"/>
      <c r="I1" s="1"/>
      <c r="J1" s="1"/>
      <c r="K1" s="1"/>
      <c r="L1" s="1" t="s">
        <v>20</v>
      </c>
      <c r="M1" s="1"/>
      <c r="N1" s="1">
        <f>SUM(N4:N31)</f>
        <v>72</v>
      </c>
      <c r="O1" s="1">
        <f>SUM(O4:O31)</f>
        <v>14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3"/>
      <c r="AG1" s="2"/>
      <c r="AH1" s="4"/>
      <c r="AI1" s="4"/>
      <c r="AJ1" s="4"/>
      <c r="AK1" s="4"/>
      <c r="AL1" s="4"/>
      <c r="AM1" s="4"/>
      <c r="AN1" s="4"/>
      <c r="AO1" s="4"/>
    </row>
    <row r="2" spans="1:41" ht="9.75" customHeight="1">
      <c r="A2" s="5"/>
      <c r="B2" s="5"/>
      <c r="C2" s="5"/>
      <c r="D2" s="6"/>
      <c r="E2" s="31"/>
      <c r="F2" s="31">
        <v>13</v>
      </c>
      <c r="G2" s="5">
        <f>SUBTOTAL(109,G4:G31)</f>
        <v>72</v>
      </c>
      <c r="H2" s="5"/>
      <c r="I2" s="5"/>
      <c r="J2" s="5"/>
      <c r="K2" s="6"/>
      <c r="L2" s="29"/>
      <c r="M2" s="29">
        <v>13</v>
      </c>
      <c r="N2" s="5">
        <f>SUBTOTAL(109,N4:N31)</f>
        <v>72</v>
      </c>
      <c r="O2" s="5">
        <f>SUBTOTAL(109,O4:O31)</f>
        <v>14</v>
      </c>
      <c r="P2" s="17">
        <f>SUBTOTAL(9,O4:O1011)</f>
        <v>14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</row>
    <row r="3" spans="1:41" ht="14.25" customHeight="1">
      <c r="A3" s="15" t="s">
        <v>0</v>
      </c>
      <c r="B3" s="15" t="s">
        <v>1</v>
      </c>
      <c r="C3" s="15" t="s">
        <v>2</v>
      </c>
      <c r="D3" s="15" t="s">
        <v>3</v>
      </c>
      <c r="E3" s="15" t="s">
        <v>5</v>
      </c>
      <c r="F3" s="15" t="s">
        <v>63</v>
      </c>
      <c r="G3" s="15" t="s">
        <v>4</v>
      </c>
      <c r="H3" s="15" t="s">
        <v>50</v>
      </c>
      <c r="I3" s="15" t="s">
        <v>6</v>
      </c>
      <c r="J3" s="15" t="s">
        <v>21</v>
      </c>
      <c r="K3" s="15" t="s">
        <v>7</v>
      </c>
      <c r="L3" s="15" t="s">
        <v>8</v>
      </c>
      <c r="M3" s="15" t="s">
        <v>63</v>
      </c>
      <c r="N3" s="16" t="s">
        <v>9</v>
      </c>
      <c r="O3" s="15" t="s">
        <v>10</v>
      </c>
      <c r="P3" s="13" t="s">
        <v>26</v>
      </c>
      <c r="Q3" s="13" t="s">
        <v>27</v>
      </c>
      <c r="R3" s="13" t="s">
        <v>28</v>
      </c>
      <c r="S3" s="13" t="s">
        <v>29</v>
      </c>
      <c r="T3" s="13" t="s">
        <v>30</v>
      </c>
      <c r="U3" s="13" t="s">
        <v>31</v>
      </c>
      <c r="V3" s="13" t="s">
        <v>32</v>
      </c>
      <c r="W3" s="13" t="s">
        <v>33</v>
      </c>
      <c r="X3" s="13" t="s">
        <v>34</v>
      </c>
      <c r="Y3" s="13" t="s">
        <v>35</v>
      </c>
      <c r="Z3" s="13" t="s">
        <v>36</v>
      </c>
      <c r="AA3" s="14" t="s">
        <v>24</v>
      </c>
      <c r="AB3" s="13" t="s">
        <v>37</v>
      </c>
      <c r="AC3" s="13" t="s">
        <v>25</v>
      </c>
      <c r="AD3" s="13" t="s">
        <v>38</v>
      </c>
      <c r="AE3" s="13" t="s">
        <v>39</v>
      </c>
      <c r="AF3" s="13" t="s">
        <v>40</v>
      </c>
      <c r="AG3" s="13" t="s">
        <v>41</v>
      </c>
      <c r="AH3" s="13" t="s">
        <v>42</v>
      </c>
      <c r="AI3" s="13" t="s">
        <v>43</v>
      </c>
      <c r="AJ3" s="13" t="s">
        <v>44</v>
      </c>
      <c r="AK3" s="13" t="s">
        <v>45</v>
      </c>
      <c r="AL3" s="13" t="s">
        <v>46</v>
      </c>
      <c r="AM3" s="14" t="s">
        <v>47</v>
      </c>
      <c r="AN3" s="14" t="s">
        <v>48</v>
      </c>
      <c r="AO3" s="14" t="s">
        <v>49</v>
      </c>
    </row>
    <row r="4" spans="1:41" ht="15" customHeight="1">
      <c r="A4" s="49">
        <v>1</v>
      </c>
      <c r="B4" s="49">
        <v>1500</v>
      </c>
      <c r="C4" s="49">
        <v>901</v>
      </c>
      <c r="D4" s="51" t="s">
        <v>112</v>
      </c>
      <c r="E4" s="58" t="s">
        <v>116</v>
      </c>
      <c r="F4" s="58">
        <f>VLOOKUP(E4,person[],F$2,FALSE)</f>
        <v>0</v>
      </c>
      <c r="G4" s="49">
        <v>20</v>
      </c>
      <c r="H4" s="49" t="s">
        <v>52</v>
      </c>
      <c r="I4" s="49" t="s">
        <v>113</v>
      </c>
      <c r="J4" s="49"/>
      <c r="K4" s="51"/>
      <c r="L4" s="53" t="s">
        <v>117</v>
      </c>
      <c r="M4" s="53">
        <f>VLOOKUP(L4,person[],M$2,FALSE)</f>
        <v>2</v>
      </c>
      <c r="N4" s="49">
        <v>3</v>
      </c>
      <c r="O4" s="49">
        <f t="array" ref="O4">N4-SumifColor(P5:AM5,$N$3,P5:AM5)</f>
        <v>0</v>
      </c>
      <c r="P4" s="12"/>
      <c r="Q4" s="10"/>
      <c r="R4" s="10"/>
      <c r="S4" s="10"/>
      <c r="T4" s="10"/>
      <c r="U4" s="7">
        <v>15</v>
      </c>
      <c r="V4" s="17"/>
      <c r="W4" s="17"/>
      <c r="X4" s="17"/>
      <c r="Y4" s="17"/>
      <c r="Z4" s="17"/>
      <c r="AA4" s="17"/>
      <c r="AB4" s="17"/>
      <c r="AC4" s="17"/>
      <c r="AD4" s="17"/>
      <c r="AE4" s="17"/>
      <c r="AF4" s="18"/>
      <c r="AG4" s="17"/>
      <c r="AH4" s="17"/>
      <c r="AI4" s="17"/>
      <c r="AJ4" s="17"/>
      <c r="AK4" s="17"/>
      <c r="AL4" s="17"/>
      <c r="AM4" s="17"/>
    </row>
    <row r="5" spans="1:41" ht="15" customHeight="1">
      <c r="A5" s="55"/>
      <c r="B5" s="55"/>
      <c r="C5" s="55"/>
      <c r="D5" s="50"/>
      <c r="E5" s="59"/>
      <c r="F5" s="59"/>
      <c r="G5" s="50"/>
      <c r="H5" s="50"/>
      <c r="I5" s="50"/>
      <c r="J5" s="50"/>
      <c r="K5" s="52"/>
      <c r="L5" s="54"/>
      <c r="M5" s="54"/>
      <c r="N5" s="55"/>
      <c r="O5" s="55"/>
      <c r="P5" s="12"/>
      <c r="Q5" s="10"/>
      <c r="R5" s="10"/>
      <c r="S5" s="10"/>
      <c r="T5" s="10"/>
      <c r="U5" s="7">
        <v>3</v>
      </c>
      <c r="V5" s="17"/>
      <c r="W5" s="17"/>
      <c r="X5" s="17"/>
      <c r="Y5" s="17"/>
      <c r="Z5" s="17"/>
      <c r="AA5" s="17"/>
      <c r="AB5" s="17"/>
      <c r="AC5" s="17"/>
      <c r="AD5" s="17"/>
      <c r="AE5" s="17"/>
      <c r="AF5" s="18"/>
      <c r="AG5" s="17"/>
      <c r="AH5" s="17"/>
      <c r="AI5" s="17"/>
      <c r="AJ5" s="17"/>
      <c r="AK5" s="17"/>
      <c r="AL5" s="17"/>
      <c r="AM5" s="17"/>
    </row>
    <row r="6" spans="1:41" ht="15" customHeight="1">
      <c r="A6" s="49"/>
      <c r="B6" s="56">
        <f>_xlfn.IFNA(B4,B6)</f>
        <v>1500</v>
      </c>
      <c r="C6" s="49"/>
      <c r="D6" s="51"/>
      <c r="E6" s="58" t="str">
        <f>_xlfn.IFNA(E4,E6)</f>
        <v>نفر 1</v>
      </c>
      <c r="F6" s="58">
        <f>VLOOKUP(E6,person[],F$2,FALSE)</f>
        <v>0</v>
      </c>
      <c r="G6" s="49"/>
      <c r="H6" s="49"/>
      <c r="I6" s="49"/>
      <c r="J6" s="49"/>
      <c r="K6" s="51"/>
      <c r="L6" s="53" t="s">
        <v>118</v>
      </c>
      <c r="M6" s="53">
        <f>VLOOKUP(L6,person[],M$2,FALSE)</f>
        <v>-7</v>
      </c>
      <c r="N6" s="49">
        <v>7</v>
      </c>
      <c r="O6" s="49">
        <f t="array" ref="O6">N6-SumifColor(P7:AM7,$N$3,P7:AM7)</f>
        <v>0</v>
      </c>
      <c r="P6" s="12"/>
      <c r="Q6" s="10"/>
      <c r="R6" s="10"/>
      <c r="S6" s="10"/>
      <c r="T6" s="10"/>
      <c r="U6" s="7">
        <v>15</v>
      </c>
      <c r="V6" s="17"/>
      <c r="W6" s="17"/>
      <c r="X6" s="17"/>
      <c r="Y6" s="17"/>
      <c r="Z6" s="17"/>
      <c r="AA6" s="17"/>
      <c r="AB6" s="17"/>
      <c r="AC6" s="17"/>
      <c r="AD6" s="17"/>
      <c r="AE6" s="17"/>
      <c r="AF6" s="18"/>
      <c r="AG6" s="17"/>
      <c r="AH6" s="17"/>
      <c r="AI6" s="17"/>
      <c r="AJ6" s="17"/>
      <c r="AK6" s="17"/>
      <c r="AL6" s="17"/>
      <c r="AM6" s="17"/>
    </row>
    <row r="7" spans="1:41" ht="15" customHeight="1">
      <c r="A7" s="55"/>
      <c r="B7" s="57"/>
      <c r="C7" s="55"/>
      <c r="D7" s="50"/>
      <c r="E7" s="59"/>
      <c r="F7" s="59"/>
      <c r="G7" s="50"/>
      <c r="H7" s="50"/>
      <c r="I7" s="50"/>
      <c r="J7" s="50"/>
      <c r="K7" s="52"/>
      <c r="L7" s="54"/>
      <c r="M7" s="54"/>
      <c r="N7" s="55"/>
      <c r="O7" s="55"/>
      <c r="P7" s="12"/>
      <c r="Q7" s="10"/>
      <c r="R7" s="10"/>
      <c r="S7" s="10"/>
      <c r="T7" s="10"/>
      <c r="U7" s="7">
        <v>7</v>
      </c>
      <c r="V7" s="17"/>
      <c r="W7" s="17"/>
      <c r="X7" s="17"/>
      <c r="Y7" s="17"/>
      <c r="Z7" s="17"/>
      <c r="AA7" s="17"/>
      <c r="AB7" s="17"/>
      <c r="AC7" s="17"/>
      <c r="AD7" s="17"/>
      <c r="AE7" s="17"/>
      <c r="AF7" s="18"/>
      <c r="AG7" s="17"/>
      <c r="AH7" s="17"/>
      <c r="AI7" s="17"/>
      <c r="AJ7" s="17"/>
      <c r="AK7" s="17"/>
      <c r="AL7" s="17"/>
      <c r="AM7" s="17"/>
    </row>
    <row r="8" spans="1:41" ht="15" customHeight="1">
      <c r="A8" s="49"/>
      <c r="B8" s="56">
        <f>_xlfn.IFNA(B6,B8)</f>
        <v>1500</v>
      </c>
      <c r="C8" s="49"/>
      <c r="D8" s="51"/>
      <c r="E8" s="58" t="str">
        <f>_xlfn.IFNA(E6,E8)</f>
        <v>نفر 1</v>
      </c>
      <c r="F8" s="58">
        <f>VLOOKUP(E8,person[],F$2,FALSE)</f>
        <v>0</v>
      </c>
      <c r="G8" s="49"/>
      <c r="H8" s="49"/>
      <c r="I8" s="49"/>
      <c r="J8" s="49"/>
      <c r="K8" s="51"/>
      <c r="L8" s="53" t="s">
        <v>119</v>
      </c>
      <c r="M8" s="53">
        <f>VLOOKUP(L8,person[],M$2,FALSE)</f>
        <v>2.5</v>
      </c>
      <c r="N8" s="49">
        <v>10</v>
      </c>
      <c r="O8" s="49">
        <f t="array" ref="O8">N8-SumifColor(P9:AM9,$N$3,P9:AM9)</f>
        <v>0</v>
      </c>
      <c r="P8" s="12"/>
      <c r="Q8" s="10"/>
      <c r="R8" s="10"/>
      <c r="S8" s="10"/>
      <c r="T8" s="10"/>
      <c r="U8" s="7">
        <v>31</v>
      </c>
      <c r="V8" s="17"/>
      <c r="W8" s="17"/>
      <c r="X8" s="17"/>
      <c r="Y8" s="17"/>
      <c r="Z8" s="17"/>
      <c r="AA8" s="17"/>
      <c r="AB8" s="17"/>
      <c r="AC8" s="17"/>
      <c r="AD8" s="17"/>
      <c r="AE8" s="17"/>
      <c r="AF8" s="18"/>
      <c r="AG8" s="17"/>
      <c r="AH8" s="17"/>
      <c r="AI8" s="17"/>
      <c r="AJ8" s="17"/>
      <c r="AK8" s="17"/>
      <c r="AL8" s="17"/>
      <c r="AM8" s="17"/>
    </row>
    <row r="9" spans="1:41" ht="15" customHeight="1">
      <c r="A9" s="55"/>
      <c r="B9" s="57"/>
      <c r="C9" s="55"/>
      <c r="D9" s="50"/>
      <c r="E9" s="59"/>
      <c r="F9" s="59"/>
      <c r="G9" s="50"/>
      <c r="H9" s="55"/>
      <c r="I9" s="50"/>
      <c r="J9" s="50"/>
      <c r="K9" s="52"/>
      <c r="L9" s="54"/>
      <c r="M9" s="54"/>
      <c r="N9" s="55"/>
      <c r="O9" s="55"/>
      <c r="P9" s="12"/>
      <c r="Q9" s="10"/>
      <c r="R9" s="10"/>
      <c r="S9" s="10"/>
      <c r="T9" s="10"/>
      <c r="U9" s="7">
        <v>10</v>
      </c>
      <c r="V9" s="10"/>
      <c r="W9" s="17"/>
      <c r="X9" s="17"/>
      <c r="Y9" s="17"/>
      <c r="Z9" s="17"/>
      <c r="AA9" s="17"/>
      <c r="AB9" s="17"/>
      <c r="AC9" s="17"/>
      <c r="AD9" s="17"/>
      <c r="AE9" s="17"/>
      <c r="AF9" s="18"/>
      <c r="AG9" s="17"/>
      <c r="AH9" s="17"/>
      <c r="AI9" s="17"/>
      <c r="AJ9" s="17"/>
      <c r="AK9" s="17"/>
      <c r="AL9" s="17"/>
      <c r="AM9" s="17"/>
    </row>
    <row r="10" spans="1:41" ht="15" customHeight="1">
      <c r="A10" s="49">
        <v>2</v>
      </c>
      <c r="B10" s="49">
        <v>1501</v>
      </c>
      <c r="C10" s="49">
        <v>904</v>
      </c>
      <c r="D10" s="51" t="s">
        <v>112</v>
      </c>
      <c r="E10" s="58" t="s">
        <v>120</v>
      </c>
      <c r="F10" s="58">
        <f>VLOOKUP(E10,person[],F$2,FALSE)</f>
        <v>-5</v>
      </c>
      <c r="G10" s="49">
        <v>15</v>
      </c>
      <c r="H10" s="60" t="s">
        <v>19</v>
      </c>
      <c r="I10" s="49"/>
      <c r="J10" s="49"/>
      <c r="K10" s="51"/>
      <c r="L10" s="53" t="s">
        <v>121</v>
      </c>
      <c r="M10" s="53">
        <f>VLOOKUP(L10,person[],M$2,FALSE)</f>
        <v>5</v>
      </c>
      <c r="N10" s="49">
        <v>15</v>
      </c>
      <c r="O10" s="49">
        <f t="array" ref="O10">N10-SumifColor(P11:AM11,$N$3,P11:AM11)</f>
        <v>5</v>
      </c>
      <c r="P10" s="12"/>
      <c r="Q10" s="7">
        <v>31</v>
      </c>
      <c r="R10" s="7">
        <v>31</v>
      </c>
      <c r="S10" s="10">
        <v>31</v>
      </c>
      <c r="T10" s="10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8"/>
      <c r="AG10" s="17"/>
      <c r="AH10" s="17"/>
      <c r="AI10" s="17"/>
      <c r="AJ10" s="17"/>
      <c r="AK10" s="17"/>
      <c r="AL10" s="17"/>
      <c r="AM10" s="17"/>
    </row>
    <row r="11" spans="1:41" ht="15" customHeight="1">
      <c r="A11" s="55"/>
      <c r="B11" s="55"/>
      <c r="C11" s="55"/>
      <c r="D11" s="50"/>
      <c r="E11" s="59"/>
      <c r="F11" s="59"/>
      <c r="G11" s="50"/>
      <c r="H11" s="50"/>
      <c r="I11" s="50"/>
      <c r="J11" s="50"/>
      <c r="K11" s="52"/>
      <c r="L11" s="54"/>
      <c r="M11" s="54"/>
      <c r="N11" s="55"/>
      <c r="O11" s="55"/>
      <c r="P11" s="12"/>
      <c r="Q11" s="7">
        <v>5</v>
      </c>
      <c r="R11" s="7">
        <v>5</v>
      </c>
      <c r="S11" s="10">
        <v>5</v>
      </c>
      <c r="T11" s="10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8"/>
      <c r="AG11" s="17"/>
      <c r="AH11" s="17"/>
      <c r="AI11" s="17"/>
      <c r="AJ11" s="17"/>
      <c r="AK11" s="17"/>
      <c r="AL11" s="17"/>
      <c r="AM11" s="17"/>
    </row>
    <row r="12" spans="1:41">
      <c r="A12" s="49">
        <v>3</v>
      </c>
      <c r="B12" s="49">
        <v>1502</v>
      </c>
      <c r="C12" s="49"/>
      <c r="D12" s="51" t="s">
        <v>22</v>
      </c>
      <c r="E12" s="58" t="s">
        <v>122</v>
      </c>
      <c r="F12" s="58">
        <f>VLOOKUP(E12,person[],F$2,FALSE)</f>
        <v>-2</v>
      </c>
      <c r="G12" s="49">
        <v>11</v>
      </c>
      <c r="H12" s="49" t="s">
        <v>54</v>
      </c>
      <c r="I12" s="49" t="s">
        <v>114</v>
      </c>
      <c r="J12" s="49"/>
      <c r="K12" s="51"/>
      <c r="L12" s="53" t="s">
        <v>123</v>
      </c>
      <c r="M12" s="53">
        <f>VLOOKUP(L12,person[],M$2,FALSE)</f>
        <v>1</v>
      </c>
      <c r="N12" s="49">
        <v>5</v>
      </c>
      <c r="O12" s="49">
        <f t="array" ref="O12">N12-SumifColor(P13:AM13,$N$3,P13:AM13)</f>
        <v>1</v>
      </c>
      <c r="P12" s="34"/>
      <c r="Q12" s="34"/>
      <c r="R12" s="34"/>
      <c r="U12" s="33">
        <v>15</v>
      </c>
      <c r="V12" s="34"/>
      <c r="W12" s="34"/>
      <c r="X12" s="33">
        <v>15</v>
      </c>
      <c r="Y12" s="34"/>
      <c r="Z12" s="34"/>
      <c r="AA12" s="33">
        <v>15</v>
      </c>
      <c r="AC12" s="33">
        <v>15</v>
      </c>
      <c r="AE12" s="11">
        <v>15</v>
      </c>
    </row>
    <row r="13" spans="1:41">
      <c r="A13" s="55"/>
      <c r="B13" s="55"/>
      <c r="C13" s="55"/>
      <c r="D13" s="50"/>
      <c r="E13" s="59"/>
      <c r="F13" s="59"/>
      <c r="G13" s="50"/>
      <c r="H13" s="50"/>
      <c r="I13" s="50"/>
      <c r="J13" s="50"/>
      <c r="K13" s="52"/>
      <c r="L13" s="54"/>
      <c r="M13" s="54"/>
      <c r="N13" s="55"/>
      <c r="O13" s="55"/>
      <c r="P13" s="34"/>
      <c r="Q13" s="34"/>
      <c r="R13" s="34"/>
      <c r="U13" s="33">
        <v>1</v>
      </c>
      <c r="V13" s="34"/>
      <c r="W13" s="34"/>
      <c r="X13" s="33">
        <v>1</v>
      </c>
      <c r="Y13" s="34"/>
      <c r="Z13" s="34"/>
      <c r="AA13" s="33">
        <v>1</v>
      </c>
      <c r="AC13" s="33">
        <v>1</v>
      </c>
      <c r="AE13" s="11">
        <v>1</v>
      </c>
    </row>
    <row r="14" spans="1:41">
      <c r="A14" s="49"/>
      <c r="B14" s="56">
        <f>_xlfn.IFNA(B12,B14)</f>
        <v>1502</v>
      </c>
      <c r="C14" s="49"/>
      <c r="D14" s="51"/>
      <c r="E14" s="58" t="str">
        <f>_xlfn.IFNA(E12,E14)</f>
        <v>نفر 7</v>
      </c>
      <c r="F14" s="58">
        <f>VLOOKUP(E14,person[],F$2,FALSE)</f>
        <v>-2</v>
      </c>
      <c r="G14" s="49"/>
      <c r="H14" s="49"/>
      <c r="I14" s="49"/>
      <c r="J14" s="49"/>
      <c r="K14" s="51"/>
      <c r="L14" s="53" t="s">
        <v>119</v>
      </c>
      <c r="M14" s="53">
        <f>VLOOKUP(L14,person[],M$2,FALSE)</f>
        <v>2.5</v>
      </c>
      <c r="N14" s="49">
        <v>4</v>
      </c>
      <c r="O14" s="49">
        <f t="array" ref="O14">N14-SumifColor(P15:AM15,$N$3,P15:AM15)</f>
        <v>1</v>
      </c>
      <c r="P14" s="34"/>
      <c r="Q14" s="34"/>
      <c r="R14" s="34"/>
      <c r="U14" s="34"/>
      <c r="V14" s="33">
        <v>15</v>
      </c>
      <c r="W14" s="34"/>
      <c r="X14" s="34"/>
      <c r="Y14" s="33">
        <v>15</v>
      </c>
      <c r="Z14" s="34"/>
      <c r="AB14" s="33">
        <v>15</v>
      </c>
      <c r="AD14" s="34">
        <v>15</v>
      </c>
    </row>
    <row r="15" spans="1:41">
      <c r="A15" s="55"/>
      <c r="B15" s="57"/>
      <c r="C15" s="55"/>
      <c r="D15" s="50"/>
      <c r="E15" s="59"/>
      <c r="F15" s="59"/>
      <c r="G15" s="50"/>
      <c r="H15" s="55"/>
      <c r="I15" s="50"/>
      <c r="J15" s="50"/>
      <c r="K15" s="52"/>
      <c r="L15" s="54"/>
      <c r="M15" s="54"/>
      <c r="N15" s="55"/>
      <c r="O15" s="55"/>
      <c r="P15" s="34"/>
      <c r="Q15" s="34"/>
      <c r="R15" s="34"/>
      <c r="U15" s="34"/>
      <c r="V15" s="33">
        <v>1</v>
      </c>
      <c r="W15" s="34"/>
      <c r="X15" s="34"/>
      <c r="Y15" s="33">
        <v>1</v>
      </c>
      <c r="Z15" s="34"/>
      <c r="AB15" s="33">
        <v>1</v>
      </c>
      <c r="AD15" s="34">
        <v>1</v>
      </c>
    </row>
    <row r="16" spans="1:41">
      <c r="A16" s="49"/>
      <c r="B16" s="56">
        <f>_xlfn.IFNA(B14,B16)</f>
        <v>1502</v>
      </c>
      <c r="C16" s="49"/>
      <c r="D16" s="51"/>
      <c r="E16" s="58" t="str">
        <f>_xlfn.IFNA(E14,E16)</f>
        <v>نفر 7</v>
      </c>
      <c r="F16" s="58">
        <f>VLOOKUP(E16,person[],F$2,FALSE)</f>
        <v>-2</v>
      </c>
      <c r="G16" s="49"/>
      <c r="H16" s="49"/>
      <c r="I16" s="49"/>
      <c r="J16" s="49"/>
      <c r="K16" s="51"/>
      <c r="L16" s="53" t="s">
        <v>124</v>
      </c>
      <c r="M16" s="53">
        <f>VLOOKUP(L16,person[],M$2,FALSE)</f>
        <v>1</v>
      </c>
      <c r="N16" s="49">
        <v>2</v>
      </c>
      <c r="O16" s="49">
        <f t="array" ref="O16">N16-SumifColor(P17:AM17,$N$3,P17:AM17)</f>
        <v>0</v>
      </c>
      <c r="P16" s="34"/>
      <c r="Q16" s="34"/>
      <c r="R16" s="34"/>
      <c r="U16" s="34"/>
      <c r="V16" s="34"/>
      <c r="W16" s="33">
        <v>15</v>
      </c>
      <c r="X16" s="34"/>
      <c r="Y16" s="34"/>
      <c r="Z16" s="33">
        <v>15</v>
      </c>
    </row>
    <row r="17" spans="1:34">
      <c r="A17" s="55"/>
      <c r="B17" s="57"/>
      <c r="C17" s="55"/>
      <c r="D17" s="50"/>
      <c r="E17" s="59"/>
      <c r="F17" s="59"/>
      <c r="G17" s="55"/>
      <c r="H17" s="55"/>
      <c r="I17" s="50"/>
      <c r="J17" s="50"/>
      <c r="K17" s="52"/>
      <c r="L17" s="54"/>
      <c r="M17" s="54"/>
      <c r="N17" s="55"/>
      <c r="O17" s="55"/>
      <c r="P17" s="34"/>
      <c r="Q17" s="34"/>
      <c r="R17" s="34"/>
      <c r="U17" s="34"/>
      <c r="V17" s="34"/>
      <c r="W17" s="33">
        <v>1</v>
      </c>
      <c r="X17" s="34"/>
      <c r="Y17" s="34"/>
      <c r="Z17" s="33">
        <v>1</v>
      </c>
    </row>
    <row r="18" spans="1:34">
      <c r="A18" s="49">
        <v>4</v>
      </c>
      <c r="B18" s="49">
        <v>1503</v>
      </c>
      <c r="C18" s="49"/>
      <c r="D18" s="51" t="s">
        <v>112</v>
      </c>
      <c r="E18" s="58" t="s">
        <v>116</v>
      </c>
      <c r="F18" s="58">
        <f>VLOOKUP(E18,person[],F$2,FALSE)</f>
        <v>0</v>
      </c>
      <c r="G18" s="49">
        <v>11</v>
      </c>
      <c r="H18" s="49" t="s">
        <v>16</v>
      </c>
      <c r="I18" s="49" t="s">
        <v>115</v>
      </c>
      <c r="J18" s="49"/>
      <c r="K18" s="51"/>
      <c r="L18" s="53" t="s">
        <v>123</v>
      </c>
      <c r="M18" s="53">
        <f>VLOOKUP(L18,person[],M$2,FALSE)</f>
        <v>1</v>
      </c>
      <c r="N18" s="49">
        <v>11</v>
      </c>
      <c r="O18" s="49">
        <f t="array" ref="O18">N18-SumifColor(P19:AM19,$N$3,P19:AM19)</f>
        <v>0</v>
      </c>
      <c r="P18" s="34"/>
      <c r="T18" s="33">
        <v>20</v>
      </c>
      <c r="V18" s="33">
        <v>20</v>
      </c>
    </row>
    <row r="19" spans="1:34">
      <c r="A19" s="55"/>
      <c r="B19" s="55"/>
      <c r="C19" s="55"/>
      <c r="D19" s="50"/>
      <c r="E19" s="59"/>
      <c r="F19" s="59"/>
      <c r="G19" s="50"/>
      <c r="H19" s="50"/>
      <c r="I19" s="50"/>
      <c r="J19" s="50"/>
      <c r="K19" s="52"/>
      <c r="L19" s="54"/>
      <c r="M19" s="54"/>
      <c r="N19" s="55"/>
      <c r="O19" s="55"/>
      <c r="P19" s="34"/>
      <c r="T19" s="33">
        <v>5.5</v>
      </c>
      <c r="V19" s="33">
        <v>5.5</v>
      </c>
    </row>
    <row r="20" spans="1:34">
      <c r="A20" s="49">
        <v>5</v>
      </c>
      <c r="B20" s="49">
        <v>1504</v>
      </c>
      <c r="C20" s="49">
        <v>902</v>
      </c>
      <c r="D20" s="51" t="s">
        <v>22</v>
      </c>
      <c r="E20" s="58" t="s">
        <v>118</v>
      </c>
      <c r="F20" s="58">
        <f>VLOOKUP(E20,person[],F$2,FALSE)</f>
        <v>-7</v>
      </c>
      <c r="G20" s="49">
        <v>15</v>
      </c>
      <c r="H20" s="49" t="s">
        <v>16</v>
      </c>
      <c r="I20" s="49"/>
      <c r="J20" s="49"/>
      <c r="K20" s="51"/>
      <c r="L20" s="53" t="s">
        <v>117</v>
      </c>
      <c r="M20" s="53">
        <f>VLOOKUP(L20,person[],M$2,FALSE)</f>
        <v>2</v>
      </c>
      <c r="N20" s="49">
        <v>5</v>
      </c>
      <c r="O20" s="49">
        <f t="array" ref="O20">N20-SumifColor(P21:AM21,$N$3,P21:AM21)</f>
        <v>2</v>
      </c>
      <c r="P20" s="34"/>
      <c r="Q20" s="34"/>
      <c r="R20" s="34"/>
      <c r="S20" s="34"/>
      <c r="T20" s="33">
        <v>30</v>
      </c>
      <c r="U20" s="33">
        <v>30</v>
      </c>
      <c r="V20" s="34"/>
      <c r="W20" s="34"/>
      <c r="Z20" s="33">
        <v>30</v>
      </c>
      <c r="AG20" s="11">
        <v>30</v>
      </c>
      <c r="AH20" s="11">
        <v>30</v>
      </c>
    </row>
    <row r="21" spans="1:34">
      <c r="A21" s="55"/>
      <c r="B21" s="55"/>
      <c r="C21" s="55"/>
      <c r="D21" s="50"/>
      <c r="E21" s="59"/>
      <c r="F21" s="59"/>
      <c r="G21" s="50"/>
      <c r="H21" s="50"/>
      <c r="I21" s="50"/>
      <c r="J21" s="50"/>
      <c r="K21" s="52"/>
      <c r="L21" s="54"/>
      <c r="M21" s="54"/>
      <c r="N21" s="55"/>
      <c r="O21" s="55"/>
      <c r="P21" s="34"/>
      <c r="Q21" s="34"/>
      <c r="R21" s="34"/>
      <c r="S21" s="34"/>
      <c r="T21" s="33">
        <v>1</v>
      </c>
      <c r="U21" s="33">
        <v>1</v>
      </c>
      <c r="V21" s="34"/>
      <c r="W21" s="34"/>
      <c r="Z21" s="33">
        <v>1</v>
      </c>
      <c r="AG21" s="11">
        <v>1</v>
      </c>
      <c r="AH21" s="11">
        <v>1</v>
      </c>
    </row>
    <row r="22" spans="1:34">
      <c r="A22" s="49"/>
      <c r="B22" s="56">
        <f>_xlfn.IFNA(B20,B22)</f>
        <v>1504</v>
      </c>
      <c r="C22" s="49"/>
      <c r="D22" s="51"/>
      <c r="E22" s="58" t="str">
        <f>_xlfn.IFNA(E20,E22)</f>
        <v>نفر 3</v>
      </c>
      <c r="F22" s="58">
        <f>VLOOKUP(E22,person[],F$2,FALSE)</f>
        <v>-7</v>
      </c>
      <c r="G22" s="49"/>
      <c r="H22" s="49"/>
      <c r="I22" s="49"/>
      <c r="J22" s="49"/>
      <c r="K22" s="51"/>
      <c r="L22" s="53" t="s">
        <v>116</v>
      </c>
      <c r="M22" s="53">
        <f>VLOOKUP(L22,person[],M$2,FALSE)</f>
        <v>0</v>
      </c>
      <c r="N22" s="49">
        <v>1.5</v>
      </c>
      <c r="O22" s="49">
        <f t="array" ref="O22">N22-SumifColor(P23:AM23,$N$3,P23:AM23)</f>
        <v>0</v>
      </c>
      <c r="P22" s="34"/>
      <c r="Q22" s="34"/>
      <c r="R22" s="34"/>
      <c r="S22" s="34"/>
      <c r="T22" s="34"/>
      <c r="U22" s="34"/>
      <c r="V22" s="34"/>
      <c r="W22" s="33">
        <v>30</v>
      </c>
      <c r="AA22" s="33">
        <v>30</v>
      </c>
    </row>
    <row r="23" spans="1:34">
      <c r="A23" s="55"/>
      <c r="B23" s="57"/>
      <c r="C23" s="55"/>
      <c r="D23" s="50"/>
      <c r="E23" s="59"/>
      <c r="F23" s="59"/>
      <c r="G23" s="55"/>
      <c r="H23" s="55"/>
      <c r="I23" s="50"/>
      <c r="J23" s="50"/>
      <c r="K23" s="52"/>
      <c r="L23" s="54"/>
      <c r="M23" s="54"/>
      <c r="N23" s="55"/>
      <c r="O23" s="55"/>
      <c r="P23" s="34"/>
      <c r="Q23" s="34"/>
      <c r="R23" s="34"/>
      <c r="S23" s="34"/>
      <c r="T23" s="34"/>
      <c r="U23" s="34"/>
      <c r="V23" s="34"/>
      <c r="W23" s="33">
        <v>0.5</v>
      </c>
      <c r="AA23" s="33">
        <v>1</v>
      </c>
    </row>
    <row r="24" spans="1:34">
      <c r="A24" s="49"/>
      <c r="B24" s="56">
        <f>_xlfn.IFNA(B22,B24)</f>
        <v>1504</v>
      </c>
      <c r="C24" s="49"/>
      <c r="D24" s="51"/>
      <c r="E24" s="58" t="str">
        <f>_xlfn.IFNA(E22,E24)</f>
        <v>نفر 3</v>
      </c>
      <c r="F24" s="58">
        <f>VLOOKUP(E24,person[],F$2,FALSE)</f>
        <v>-7</v>
      </c>
      <c r="G24" s="49"/>
      <c r="H24" s="49"/>
      <c r="I24" s="49"/>
      <c r="J24" s="49"/>
      <c r="K24" s="51"/>
      <c r="L24" s="53" t="s">
        <v>124</v>
      </c>
      <c r="M24" s="53">
        <f>VLOOKUP(L24,person[],M$2,FALSE)</f>
        <v>1</v>
      </c>
      <c r="N24" s="49">
        <v>2.5</v>
      </c>
      <c r="O24" s="49">
        <f t="array" ref="O24">N24-SumifColor(P25:AM25,$N$3,P25:AM25)</f>
        <v>1</v>
      </c>
      <c r="P24" s="34"/>
      <c r="Q24" s="34"/>
      <c r="R24" s="34"/>
      <c r="S24" s="34"/>
      <c r="T24" s="34"/>
      <c r="U24" s="34"/>
      <c r="V24" s="33">
        <v>30</v>
      </c>
      <c r="W24" s="33">
        <v>30</v>
      </c>
      <c r="AB24" s="11">
        <v>30</v>
      </c>
    </row>
    <row r="25" spans="1:34">
      <c r="A25" s="55"/>
      <c r="B25" s="57"/>
      <c r="C25" s="55"/>
      <c r="D25" s="50"/>
      <c r="E25" s="59"/>
      <c r="F25" s="59"/>
      <c r="G25" s="55"/>
      <c r="H25" s="55"/>
      <c r="I25" s="50"/>
      <c r="J25" s="50"/>
      <c r="K25" s="52"/>
      <c r="L25" s="54"/>
      <c r="M25" s="54"/>
      <c r="N25" s="55"/>
      <c r="O25" s="55"/>
      <c r="P25" s="34"/>
      <c r="Q25" s="34"/>
      <c r="R25" s="34"/>
      <c r="S25" s="34"/>
      <c r="T25" s="34"/>
      <c r="U25" s="34"/>
      <c r="V25" s="33">
        <v>1</v>
      </c>
      <c r="W25" s="33">
        <v>0.5</v>
      </c>
      <c r="AB25" s="11">
        <v>1</v>
      </c>
    </row>
    <row r="26" spans="1:34">
      <c r="A26" s="49"/>
      <c r="B26" s="56">
        <f>_xlfn.IFNA(B24,B26)</f>
        <v>1504</v>
      </c>
      <c r="C26" s="49"/>
      <c r="D26" s="51"/>
      <c r="E26" s="58" t="str">
        <f>_xlfn.IFNA(E24,E26)</f>
        <v>نفر 3</v>
      </c>
      <c r="F26" s="58">
        <f>VLOOKUP(E26,person[],F$2,FALSE)</f>
        <v>-7</v>
      </c>
      <c r="G26" s="49"/>
      <c r="H26" s="49"/>
      <c r="I26" s="49"/>
      <c r="J26" s="49"/>
      <c r="K26" s="51"/>
      <c r="L26" s="53" t="s">
        <v>125</v>
      </c>
      <c r="M26" s="53">
        <f>VLOOKUP(L26,person[],M$2,FALSE)</f>
        <v>1.5</v>
      </c>
      <c r="N26" s="49">
        <v>2.5</v>
      </c>
      <c r="O26" s="49">
        <f t="array" ref="O26">N26-SumifColor(P27:AM27,$N$3,P27:AM27)</f>
        <v>1.5</v>
      </c>
      <c r="P26" s="34"/>
      <c r="Q26" s="34"/>
      <c r="R26" s="34"/>
      <c r="S26" s="34"/>
      <c r="T26" s="34"/>
      <c r="U26" s="34"/>
      <c r="V26" s="34"/>
      <c r="W26" s="34"/>
      <c r="X26" s="33">
        <v>30</v>
      </c>
      <c r="AD26" s="11">
        <v>30</v>
      </c>
      <c r="AF26" s="11">
        <v>30</v>
      </c>
    </row>
    <row r="27" spans="1:34">
      <c r="A27" s="55"/>
      <c r="B27" s="57"/>
      <c r="C27" s="55"/>
      <c r="D27" s="50"/>
      <c r="E27" s="59"/>
      <c r="F27" s="59"/>
      <c r="G27" s="55"/>
      <c r="H27" s="55"/>
      <c r="I27" s="50"/>
      <c r="J27" s="50"/>
      <c r="K27" s="52"/>
      <c r="L27" s="54"/>
      <c r="M27" s="54"/>
      <c r="N27" s="55"/>
      <c r="O27" s="55"/>
      <c r="P27" s="34"/>
      <c r="Q27" s="34"/>
      <c r="R27" s="34"/>
      <c r="S27" s="34"/>
      <c r="T27" s="34"/>
      <c r="U27" s="34"/>
      <c r="V27" s="34"/>
      <c r="W27" s="34"/>
      <c r="X27" s="33">
        <v>1</v>
      </c>
      <c r="AD27" s="11">
        <v>1</v>
      </c>
      <c r="AF27" s="11">
        <v>0.5</v>
      </c>
    </row>
    <row r="28" spans="1:34">
      <c r="A28" s="49"/>
      <c r="B28" s="56">
        <f>_xlfn.IFNA(B26,B28)</f>
        <v>1504</v>
      </c>
      <c r="C28" s="49"/>
      <c r="D28" s="51"/>
      <c r="E28" s="58" t="str">
        <f>_xlfn.IFNA(E26,E28)</f>
        <v>نفر 3</v>
      </c>
      <c r="F28" s="58">
        <f>VLOOKUP(E28,person[],F$2,FALSE)</f>
        <v>-7</v>
      </c>
      <c r="G28" s="49"/>
      <c r="H28" s="49"/>
      <c r="I28" s="49"/>
      <c r="J28" s="49"/>
      <c r="K28" s="51"/>
      <c r="L28" s="53" t="s">
        <v>119</v>
      </c>
      <c r="M28" s="53">
        <f>VLOOKUP(L28,person[],M$2,FALSE)</f>
        <v>2.5</v>
      </c>
      <c r="N28" s="49">
        <v>2.5</v>
      </c>
      <c r="O28" s="49">
        <f t="array" ref="O28">N28-SumifColor(P29:AM29,$N$3,P29:AM29)</f>
        <v>1.5</v>
      </c>
      <c r="P28" s="34"/>
      <c r="Q28" s="34"/>
      <c r="R28" s="34"/>
      <c r="S28" s="34"/>
      <c r="T28" s="34"/>
      <c r="U28" s="34"/>
      <c r="V28" s="34"/>
      <c r="W28" s="34"/>
      <c r="Y28" s="33">
        <v>30</v>
      </c>
      <c r="AE28" s="11">
        <v>30</v>
      </c>
      <c r="AF28" s="11">
        <v>30</v>
      </c>
    </row>
    <row r="29" spans="1:34">
      <c r="A29" s="55"/>
      <c r="B29" s="57"/>
      <c r="C29" s="55"/>
      <c r="D29" s="50"/>
      <c r="E29" s="59"/>
      <c r="F29" s="59"/>
      <c r="G29" s="55"/>
      <c r="H29" s="50"/>
      <c r="I29" s="50"/>
      <c r="J29" s="50"/>
      <c r="K29" s="52"/>
      <c r="L29" s="54"/>
      <c r="M29" s="54"/>
      <c r="N29" s="55"/>
      <c r="O29" s="55"/>
      <c r="P29" s="34"/>
      <c r="Q29" s="34"/>
      <c r="R29" s="34"/>
      <c r="S29" s="34"/>
      <c r="T29" s="34"/>
      <c r="U29" s="34"/>
      <c r="V29" s="34"/>
      <c r="W29" s="34"/>
      <c r="Y29" s="33">
        <v>1</v>
      </c>
      <c r="AE29" s="11">
        <v>1</v>
      </c>
      <c r="AF29" s="11">
        <v>0.5</v>
      </c>
    </row>
    <row r="30" spans="1:34">
      <c r="A30" s="49"/>
      <c r="B30" s="56">
        <f>_xlfn.IFNA(B28,B30)</f>
        <v>1504</v>
      </c>
      <c r="C30" s="49"/>
      <c r="D30" s="51"/>
      <c r="E30" s="58" t="str">
        <f>_xlfn.IFNA(E28,E30)</f>
        <v>نفر 3</v>
      </c>
      <c r="F30" s="58">
        <f>VLOOKUP(E30,person[],F$2,FALSE)</f>
        <v>-7</v>
      </c>
      <c r="G30" s="49"/>
      <c r="H30" s="49"/>
      <c r="I30" s="49"/>
      <c r="J30" s="49"/>
      <c r="K30" s="51"/>
      <c r="L30" s="53" t="s">
        <v>126</v>
      </c>
      <c r="M30" s="53">
        <f>VLOOKUP(L30,person[],M$2,FALSE)</f>
        <v>1</v>
      </c>
      <c r="N30" s="49">
        <v>1</v>
      </c>
      <c r="O30" s="49">
        <f t="array" ref="O30">N30-SumifColor(P31:AM31,$N$3,P31:AM31)</f>
        <v>1</v>
      </c>
      <c r="P30" s="34"/>
      <c r="Q30" s="34"/>
      <c r="R30" s="34"/>
      <c r="S30" s="34"/>
      <c r="T30" s="34"/>
      <c r="U30" s="34"/>
      <c r="V30" s="34"/>
      <c r="W30" s="34"/>
      <c r="AC30" s="11">
        <v>30</v>
      </c>
    </row>
    <row r="31" spans="1:34">
      <c r="A31" s="55"/>
      <c r="B31" s="57"/>
      <c r="C31" s="55"/>
      <c r="D31" s="50"/>
      <c r="E31" s="59"/>
      <c r="F31" s="59"/>
      <c r="G31" s="55"/>
      <c r="H31" s="50"/>
      <c r="I31" s="50"/>
      <c r="J31" s="50"/>
      <c r="K31" s="52"/>
      <c r="L31" s="54"/>
      <c r="M31" s="54"/>
      <c r="N31" s="55"/>
      <c r="O31" s="55"/>
      <c r="P31" s="34"/>
      <c r="Q31" s="34"/>
      <c r="R31" s="34"/>
      <c r="S31" s="34"/>
      <c r="T31" s="34"/>
      <c r="U31" s="34"/>
      <c r="V31" s="34"/>
      <c r="W31" s="34"/>
      <c r="AC31" s="11">
        <v>1</v>
      </c>
    </row>
  </sheetData>
  <autoFilter ref="A3:O31" xr:uid="{DA828592-D952-482F-8F96-696A164FBE6B}"/>
  <mergeCells count="210">
    <mergeCell ref="M4:M5"/>
    <mergeCell ref="M6:M7"/>
    <mergeCell ref="M8:M9"/>
    <mergeCell ref="M10:M11"/>
    <mergeCell ref="M12:M13"/>
    <mergeCell ref="M14:M15"/>
    <mergeCell ref="M16:M17"/>
    <mergeCell ref="M18:M19"/>
    <mergeCell ref="M20:M21"/>
    <mergeCell ref="H4:H5"/>
    <mergeCell ref="H6:H7"/>
    <mergeCell ref="H8:H9"/>
    <mergeCell ref="H10:H11"/>
    <mergeCell ref="F4:F5"/>
    <mergeCell ref="F6:F7"/>
    <mergeCell ref="F8:F9"/>
    <mergeCell ref="F10:F11"/>
    <mergeCell ref="F12:F13"/>
    <mergeCell ref="O8:O9"/>
    <mergeCell ref="A10:A11"/>
    <mergeCell ref="B10:B11"/>
    <mergeCell ref="C10:C11"/>
    <mergeCell ref="D10:D11"/>
    <mergeCell ref="E10:E11"/>
    <mergeCell ref="G10:G11"/>
    <mergeCell ref="I10:I11"/>
    <mergeCell ref="J10:J11"/>
    <mergeCell ref="K10:K11"/>
    <mergeCell ref="G8:G9"/>
    <mergeCell ref="I8:I9"/>
    <mergeCell ref="J8:J9"/>
    <mergeCell ref="K8:K9"/>
    <mergeCell ref="L8:L9"/>
    <mergeCell ref="N8:N9"/>
    <mergeCell ref="A8:A9"/>
    <mergeCell ref="B8:B9"/>
    <mergeCell ref="C8:C9"/>
    <mergeCell ref="D8:D9"/>
    <mergeCell ref="E8:E9"/>
    <mergeCell ref="L10:L11"/>
    <mergeCell ref="N10:N11"/>
    <mergeCell ref="O10:O11"/>
    <mergeCell ref="A12:A13"/>
    <mergeCell ref="B12:B13"/>
    <mergeCell ref="C12:C13"/>
    <mergeCell ref="D12:D13"/>
    <mergeCell ref="E12:E13"/>
    <mergeCell ref="G12:G13"/>
    <mergeCell ref="I12:I13"/>
    <mergeCell ref="J4:J5"/>
    <mergeCell ref="K4:K5"/>
    <mergeCell ref="L4:L5"/>
    <mergeCell ref="N4:N5"/>
    <mergeCell ref="O4:O5"/>
    <mergeCell ref="A6:A7"/>
    <mergeCell ref="B6:B7"/>
    <mergeCell ref="C6:C7"/>
    <mergeCell ref="D6:D7"/>
    <mergeCell ref="G6:G7"/>
    <mergeCell ref="A4:A5"/>
    <mergeCell ref="B4:B5"/>
    <mergeCell ref="C4:C5"/>
    <mergeCell ref="D4:D5"/>
    <mergeCell ref="G4:G5"/>
    <mergeCell ref="I4:I5"/>
    <mergeCell ref="E4:E5"/>
    <mergeCell ref="E6:E7"/>
    <mergeCell ref="I6:I7"/>
    <mergeCell ref="J6:J7"/>
    <mergeCell ref="K6:K7"/>
    <mergeCell ref="L6:L7"/>
    <mergeCell ref="N6:N7"/>
    <mergeCell ref="O6:O7"/>
    <mergeCell ref="J12:J13"/>
    <mergeCell ref="K12:K13"/>
    <mergeCell ref="L12:L13"/>
    <mergeCell ref="N12:N13"/>
    <mergeCell ref="O12:O13"/>
    <mergeCell ref="A14:A15"/>
    <mergeCell ref="B14:B15"/>
    <mergeCell ref="C14:C15"/>
    <mergeCell ref="D14:D15"/>
    <mergeCell ref="E14:E15"/>
    <mergeCell ref="H12:H13"/>
    <mergeCell ref="H14:H15"/>
    <mergeCell ref="F14:F15"/>
    <mergeCell ref="O14:O15"/>
    <mergeCell ref="A16:A17"/>
    <mergeCell ref="B16:B17"/>
    <mergeCell ref="C16:C17"/>
    <mergeCell ref="D16:D17"/>
    <mergeCell ref="E16:E17"/>
    <mergeCell ref="G16:G17"/>
    <mergeCell ref="I16:I17"/>
    <mergeCell ref="J16:J17"/>
    <mergeCell ref="K16:K17"/>
    <mergeCell ref="G14:G15"/>
    <mergeCell ref="I14:I15"/>
    <mergeCell ref="J14:J15"/>
    <mergeCell ref="K14:K15"/>
    <mergeCell ref="L14:L15"/>
    <mergeCell ref="N14:N15"/>
    <mergeCell ref="H16:H17"/>
    <mergeCell ref="F16:F17"/>
    <mergeCell ref="L16:L17"/>
    <mergeCell ref="N16:N17"/>
    <mergeCell ref="O16:O17"/>
    <mergeCell ref="A18:A19"/>
    <mergeCell ref="B18:B19"/>
    <mergeCell ref="C18:C19"/>
    <mergeCell ref="D18:D19"/>
    <mergeCell ref="E18:E19"/>
    <mergeCell ref="G18:G19"/>
    <mergeCell ref="I18:I19"/>
    <mergeCell ref="F18:F19"/>
    <mergeCell ref="J18:J19"/>
    <mergeCell ref="K18:K19"/>
    <mergeCell ref="L18:L19"/>
    <mergeCell ref="N18:N19"/>
    <mergeCell ref="O18:O19"/>
    <mergeCell ref="A20:A21"/>
    <mergeCell ref="B20:B21"/>
    <mergeCell ref="C20:C21"/>
    <mergeCell ref="D20:D21"/>
    <mergeCell ref="E20:E21"/>
    <mergeCell ref="H18:H19"/>
    <mergeCell ref="H20:H21"/>
    <mergeCell ref="F20:F21"/>
    <mergeCell ref="O20:O21"/>
    <mergeCell ref="A22:A23"/>
    <mergeCell ref="B22:B23"/>
    <mergeCell ref="C22:C23"/>
    <mergeCell ref="D22:D23"/>
    <mergeCell ref="E22:E23"/>
    <mergeCell ref="G22:G23"/>
    <mergeCell ref="I22:I23"/>
    <mergeCell ref="J22:J23"/>
    <mergeCell ref="K22:K23"/>
    <mergeCell ref="G20:G21"/>
    <mergeCell ref="I20:I21"/>
    <mergeCell ref="J20:J21"/>
    <mergeCell ref="K20:K21"/>
    <mergeCell ref="L20:L21"/>
    <mergeCell ref="N20:N21"/>
    <mergeCell ref="H22:H23"/>
    <mergeCell ref="F22:F23"/>
    <mergeCell ref="M22:M23"/>
    <mergeCell ref="F28:F29"/>
    <mergeCell ref="F30:F31"/>
    <mergeCell ref="L22:L23"/>
    <mergeCell ref="N22:N23"/>
    <mergeCell ref="O22:O23"/>
    <mergeCell ref="A24:A25"/>
    <mergeCell ref="B24:B25"/>
    <mergeCell ref="C24:C25"/>
    <mergeCell ref="D24:D25"/>
    <mergeCell ref="E24:E25"/>
    <mergeCell ref="G24:G25"/>
    <mergeCell ref="I24:I25"/>
    <mergeCell ref="F24:F25"/>
    <mergeCell ref="M24:M25"/>
    <mergeCell ref="M26:M27"/>
    <mergeCell ref="M28:M29"/>
    <mergeCell ref="M30:M31"/>
    <mergeCell ref="J24:J25"/>
    <mergeCell ref="K24:K25"/>
    <mergeCell ref="L24:L25"/>
    <mergeCell ref="N24:N25"/>
    <mergeCell ref="O24:O25"/>
    <mergeCell ref="A26:A27"/>
    <mergeCell ref="B26:B27"/>
    <mergeCell ref="C26:C27"/>
    <mergeCell ref="D26:D27"/>
    <mergeCell ref="E26:E27"/>
    <mergeCell ref="H24:H25"/>
    <mergeCell ref="H26:H27"/>
    <mergeCell ref="F26:F27"/>
    <mergeCell ref="A30:A31"/>
    <mergeCell ref="B30:B31"/>
    <mergeCell ref="C30:C31"/>
    <mergeCell ref="D30:D31"/>
    <mergeCell ref="E30:E31"/>
    <mergeCell ref="G30:G31"/>
    <mergeCell ref="I30:I31"/>
    <mergeCell ref="O26:O27"/>
    <mergeCell ref="A28:A29"/>
    <mergeCell ref="B28:B29"/>
    <mergeCell ref="C28:C29"/>
    <mergeCell ref="D28:D29"/>
    <mergeCell ref="E28:E29"/>
    <mergeCell ref="G28:G29"/>
    <mergeCell ref="I28:I29"/>
    <mergeCell ref="J28:J29"/>
    <mergeCell ref="K28:K29"/>
    <mergeCell ref="G26:G27"/>
    <mergeCell ref="I26:I27"/>
    <mergeCell ref="J26:J27"/>
    <mergeCell ref="K26:K27"/>
    <mergeCell ref="L26:L27"/>
    <mergeCell ref="N26:N27"/>
    <mergeCell ref="H28:H29"/>
    <mergeCell ref="J30:J31"/>
    <mergeCell ref="K30:K31"/>
    <mergeCell ref="L30:L31"/>
    <mergeCell ref="N30:N31"/>
    <mergeCell ref="O30:O31"/>
    <mergeCell ref="H30:H31"/>
    <mergeCell ref="L28:L29"/>
    <mergeCell ref="N28:N29"/>
    <mergeCell ref="O28:O29"/>
  </mergeCells>
  <dataValidations count="1">
    <dataValidation allowBlank="1" showInputMessage="1" showErrorMessage="1" prompt="موضوع" sqref="H1:H3 H32:H1048576" xr:uid="{681A1BA7-179B-4E2A-AD5A-7E499D3E1096}"/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prompt="موضوع" xr:uid="{6313ADE7-2CFE-44FB-A2C8-109B2B46A12F}">
          <x14:formula1>
            <xm:f>موضوعات!$B$3:$B$22</xm:f>
          </x14:formula1>
          <xm:sqref>H4:H5 H8:H31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E63F2-0F13-423E-A353-05F2D7F3D56B}">
  <dimension ref="A1:AT11"/>
  <sheetViews>
    <sheetView rightToLeft="1" tabSelected="1" workbookViewId="0">
      <pane xSplit="12" ySplit="2" topLeftCell="M3" activePane="bottomRight" state="frozen"/>
      <selection pane="topRight" activeCell="M1" sqref="M1"/>
      <selection pane="bottomLeft" activeCell="A3" sqref="A3"/>
      <selection pane="bottomRight" activeCell="A11" sqref="A11"/>
    </sheetView>
  </sheetViews>
  <sheetFormatPr defaultRowHeight="25.05" customHeight="1"/>
  <cols>
    <col min="1" max="2" width="8.88671875" style="42"/>
    <col min="3" max="3" width="11.21875" style="42" customWidth="1"/>
    <col min="4" max="4" width="8.88671875" style="42"/>
    <col min="5" max="5" width="11.77734375" style="42" customWidth="1"/>
    <col min="6" max="6" width="15.77734375" style="42" customWidth="1"/>
    <col min="7" max="7" width="20.33203125" style="42" customWidth="1"/>
    <col min="8" max="8" width="8.88671875" style="42"/>
    <col min="9" max="9" width="14.88671875" style="42" customWidth="1"/>
    <col min="10" max="10" width="21.6640625" style="42" customWidth="1"/>
    <col min="11" max="13" width="8.88671875" style="42"/>
    <col min="14" max="14" width="10.109375" style="42" customWidth="1"/>
    <col min="15" max="15" width="9.33203125" style="42" customWidth="1"/>
    <col min="16" max="16" width="10.109375" style="42" customWidth="1"/>
    <col min="17" max="17" width="8.88671875" style="42"/>
    <col min="18" max="18" width="10.109375" style="42" customWidth="1"/>
    <col min="19" max="19" width="8.88671875" style="42"/>
    <col min="20" max="20" width="10.109375" style="42" customWidth="1"/>
    <col min="21" max="21" width="8.88671875" style="42"/>
    <col min="22" max="22" width="10.109375" style="42" customWidth="1"/>
    <col min="23" max="23" width="8.88671875" style="42"/>
    <col min="24" max="24" width="10.109375" style="42" customWidth="1"/>
    <col min="25" max="25" width="8.88671875" style="42"/>
    <col min="26" max="26" width="11.109375" style="42" customWidth="1"/>
    <col min="27" max="27" width="8.88671875" style="42"/>
    <col min="28" max="28" width="11.109375" style="42" customWidth="1"/>
    <col min="29" max="29" width="8.88671875" style="42"/>
    <col min="30" max="30" width="11.109375" style="42" customWidth="1"/>
    <col min="31" max="31" width="8.88671875" style="42"/>
    <col min="32" max="32" width="11.109375" style="42" customWidth="1"/>
    <col min="33" max="33" width="8.88671875" style="42"/>
    <col min="34" max="34" width="11.109375" style="42" customWidth="1"/>
    <col min="35" max="35" width="8.88671875" style="42"/>
    <col min="36" max="36" width="11.109375" style="42" customWidth="1"/>
    <col min="37" max="16384" width="8.88671875" style="42"/>
  </cols>
  <sheetData>
    <row r="1" spans="1:46" ht="18" customHeight="1">
      <c r="A1" s="42">
        <f>MAX(Table7[ردیف])</f>
        <v>4</v>
      </c>
      <c r="B1" s="42">
        <f>MAX(Table7['#ش])-MIN(Table7['#ش])+1</f>
        <v>4</v>
      </c>
      <c r="H1" s="42">
        <f>SUM(Table7[مجموع])</f>
        <v>76</v>
      </c>
      <c r="J1" s="43"/>
      <c r="K1" s="42">
        <f>SUM(Table7[مبلغ])</f>
        <v>76</v>
      </c>
      <c r="L1" s="42">
        <f>SUM(Table7[مانده])</f>
        <v>63</v>
      </c>
    </row>
    <row r="2" spans="1:46" ht="25.05" customHeight="1">
      <c r="A2" s="42" t="s">
        <v>0</v>
      </c>
      <c r="B2" s="42" t="s">
        <v>75</v>
      </c>
      <c r="C2" s="42" t="s">
        <v>76</v>
      </c>
      <c r="D2" s="42" t="s">
        <v>50</v>
      </c>
      <c r="E2" s="42" t="s">
        <v>3</v>
      </c>
      <c r="F2" s="42" t="s">
        <v>7</v>
      </c>
      <c r="G2" s="42" t="s">
        <v>5</v>
      </c>
      <c r="H2" s="42" t="s">
        <v>4</v>
      </c>
      <c r="I2" s="42" t="s">
        <v>23</v>
      </c>
      <c r="J2" s="42" t="s">
        <v>101</v>
      </c>
      <c r="K2" s="42" t="s">
        <v>9</v>
      </c>
      <c r="L2" s="42" t="s">
        <v>10</v>
      </c>
      <c r="M2" s="42" t="s">
        <v>77</v>
      </c>
      <c r="N2" s="42" t="s">
        <v>89</v>
      </c>
      <c r="O2" s="42" t="s">
        <v>78</v>
      </c>
      <c r="P2" s="42" t="s">
        <v>90</v>
      </c>
      <c r="Q2" s="42" t="s">
        <v>79</v>
      </c>
      <c r="R2" s="42" t="s">
        <v>91</v>
      </c>
      <c r="S2" s="42" t="s">
        <v>80</v>
      </c>
      <c r="T2" s="42" t="s">
        <v>92</v>
      </c>
      <c r="U2" s="42" t="s">
        <v>81</v>
      </c>
      <c r="V2" s="42" t="s">
        <v>93</v>
      </c>
      <c r="W2" s="42" t="s">
        <v>82</v>
      </c>
      <c r="X2" s="42" t="s">
        <v>94</v>
      </c>
      <c r="Y2" s="42" t="s">
        <v>83</v>
      </c>
      <c r="Z2" s="42" t="s">
        <v>95</v>
      </c>
      <c r="AA2" s="42" t="s">
        <v>84</v>
      </c>
      <c r="AB2" s="42" t="s">
        <v>96</v>
      </c>
      <c r="AC2" s="42" t="s">
        <v>85</v>
      </c>
      <c r="AD2" s="42" t="s">
        <v>97</v>
      </c>
      <c r="AE2" s="42" t="s">
        <v>86</v>
      </c>
      <c r="AF2" s="42" t="s">
        <v>98</v>
      </c>
      <c r="AG2" s="42" t="s">
        <v>87</v>
      </c>
      <c r="AH2" s="42" t="s">
        <v>99</v>
      </c>
      <c r="AI2" s="42" t="s">
        <v>88</v>
      </c>
      <c r="AJ2" s="42" t="s">
        <v>100</v>
      </c>
      <c r="AK2" s="42" t="s">
        <v>102</v>
      </c>
      <c r="AL2" s="48" t="s">
        <v>103</v>
      </c>
      <c r="AM2" s="42" t="s">
        <v>104</v>
      </c>
      <c r="AN2" s="42" t="s">
        <v>105</v>
      </c>
      <c r="AO2" s="42" t="s">
        <v>106</v>
      </c>
      <c r="AP2" s="42" t="s">
        <v>107</v>
      </c>
      <c r="AQ2" s="42" t="s">
        <v>108</v>
      </c>
      <c r="AR2" s="42" t="s">
        <v>109</v>
      </c>
      <c r="AS2" s="42" t="s">
        <v>110</v>
      </c>
      <c r="AT2" s="42" t="s">
        <v>111</v>
      </c>
    </row>
    <row r="3" spans="1:46" ht="25.05" customHeight="1">
      <c r="A3" s="42">
        <v>1</v>
      </c>
      <c r="B3" s="42">
        <v>2500</v>
      </c>
      <c r="C3" s="42">
        <v>1158</v>
      </c>
      <c r="D3" s="19" t="s">
        <v>51</v>
      </c>
      <c r="E3" s="42" t="s">
        <v>22</v>
      </c>
      <c r="F3" s="42" t="s">
        <v>133</v>
      </c>
      <c r="G3" s="42" t="s">
        <v>127</v>
      </c>
      <c r="H3" s="42">
        <v>10</v>
      </c>
      <c r="J3" s="42" t="s">
        <v>128</v>
      </c>
      <c r="K3" s="46">
        <v>5</v>
      </c>
      <c r="L3" s="47" cm="1">
        <f t="array" ref="L3">Table7[[#This Row],[مبلغ]]-SumifColor(Table7[[#This Row],[1]:[12]],$J$1,Table7[[#This Row],[1]:[12]])</f>
        <v>0</v>
      </c>
      <c r="M3" s="45">
        <v>31</v>
      </c>
      <c r="N3" s="43">
        <v>5</v>
      </c>
      <c r="O3" s="45"/>
      <c r="P3" s="44"/>
      <c r="Q3" s="45"/>
      <c r="S3" s="45"/>
      <c r="U3" s="45"/>
      <c r="W3" s="45"/>
      <c r="Y3" s="45"/>
      <c r="AA3" s="45"/>
      <c r="AC3" s="45"/>
      <c r="AE3" s="45"/>
      <c r="AG3" s="45"/>
      <c r="AI3" s="45"/>
      <c r="AK3" s="45"/>
      <c r="AM3" s="45"/>
      <c r="AO3" s="45"/>
      <c r="AQ3" s="45"/>
      <c r="AS3" s="45"/>
    </row>
    <row r="4" spans="1:46" ht="25.05" customHeight="1">
      <c r="A4" s="42">
        <f t="shared" ref="A4:G4" si="0">A3</f>
        <v>1</v>
      </c>
      <c r="B4" s="42">
        <f t="shared" si="0"/>
        <v>2500</v>
      </c>
      <c r="C4" s="42">
        <f t="shared" si="0"/>
        <v>1158</v>
      </c>
      <c r="D4" s="19" t="str">
        <f t="shared" si="0"/>
        <v>کار فرهنگی</v>
      </c>
      <c r="E4" s="42" t="str">
        <f t="shared" si="0"/>
        <v>روابط</v>
      </c>
      <c r="F4" s="42" t="str">
        <f t="shared" si="0"/>
        <v>نفر 20</v>
      </c>
      <c r="G4" s="42" t="str">
        <f t="shared" si="0"/>
        <v>نفر 12</v>
      </c>
      <c r="J4" s="42" t="s">
        <v>119</v>
      </c>
      <c r="K4" s="46">
        <v>5</v>
      </c>
      <c r="L4" s="47" cm="1">
        <f t="array" ref="L4">Table7[[#This Row],[مبلغ]]-SumifColor(Table7[[#This Row],[1]:[12]],$J$1,Table7[[#This Row],[1]:[12]])</f>
        <v>5</v>
      </c>
      <c r="M4" s="45"/>
      <c r="O4" s="45">
        <v>31</v>
      </c>
      <c r="P4" s="42">
        <v>5</v>
      </c>
      <c r="Q4" s="45"/>
      <c r="S4" s="45"/>
      <c r="U4" s="45"/>
      <c r="W4" s="45"/>
      <c r="Y4" s="45"/>
      <c r="AA4" s="45"/>
      <c r="AC4" s="45"/>
      <c r="AE4" s="45"/>
      <c r="AG4" s="45"/>
      <c r="AI4" s="45"/>
      <c r="AK4" s="45"/>
      <c r="AM4" s="45"/>
      <c r="AO4" s="45"/>
      <c r="AQ4" s="45"/>
      <c r="AS4" s="45"/>
    </row>
    <row r="5" spans="1:46" ht="25.05" customHeight="1">
      <c r="A5" s="42">
        <v>2</v>
      </c>
      <c r="B5" s="42">
        <v>2501</v>
      </c>
      <c r="C5" s="42">
        <v>0</v>
      </c>
      <c r="D5" s="19" t="s">
        <v>14</v>
      </c>
      <c r="E5" s="42" t="s">
        <v>112</v>
      </c>
      <c r="F5" s="42" t="s">
        <v>128</v>
      </c>
      <c r="G5" s="42" t="s">
        <v>127</v>
      </c>
      <c r="H5" s="42">
        <v>32</v>
      </c>
      <c r="J5" s="42" t="s">
        <v>128</v>
      </c>
      <c r="K5" s="46">
        <v>32</v>
      </c>
      <c r="L5" s="47" cm="1">
        <f t="array" ref="L5">Table7[[#This Row],[مبلغ]]-SumifColor(Table7[[#This Row],[1]:[12]],$J$1,Table7[[#This Row],[1]:[12]])</f>
        <v>32</v>
      </c>
      <c r="M5" s="45"/>
      <c r="O5" s="45">
        <v>1</v>
      </c>
      <c r="P5" s="42">
        <v>20</v>
      </c>
      <c r="Q5" s="45"/>
      <c r="S5" s="45">
        <v>1</v>
      </c>
      <c r="T5" s="42">
        <v>10</v>
      </c>
      <c r="U5" s="45"/>
      <c r="W5" s="45"/>
      <c r="Y5" s="45"/>
      <c r="AA5" s="45"/>
      <c r="AC5" s="45"/>
      <c r="AE5" s="45"/>
      <c r="AG5" s="45"/>
      <c r="AI5" s="45"/>
      <c r="AK5" s="45"/>
      <c r="AM5" s="45"/>
      <c r="AO5" s="45"/>
      <c r="AQ5" s="45"/>
      <c r="AS5" s="45"/>
    </row>
    <row r="6" spans="1:46" ht="25.05" customHeight="1">
      <c r="A6" s="42">
        <v>3</v>
      </c>
      <c r="B6" s="42">
        <v>2502</v>
      </c>
      <c r="C6" s="42">
        <v>1160</v>
      </c>
      <c r="D6" s="19" t="s">
        <v>18</v>
      </c>
      <c r="E6" s="42" t="s">
        <v>22</v>
      </c>
      <c r="F6" s="42" t="s">
        <v>129</v>
      </c>
      <c r="G6" s="42" t="s">
        <v>130</v>
      </c>
      <c r="H6" s="42">
        <v>22</v>
      </c>
      <c r="J6" s="42" t="s">
        <v>131</v>
      </c>
      <c r="K6" s="46">
        <v>5</v>
      </c>
      <c r="L6" s="47" cm="1">
        <f t="array" ref="L6">Table7[[#This Row],[مبلغ]]-SumifColor(Table7[[#This Row],[1]:[12]],$J$1,Table7[[#This Row],[1]:[12]])</f>
        <v>2</v>
      </c>
      <c r="M6" s="45"/>
      <c r="O6" s="45">
        <v>4</v>
      </c>
      <c r="P6" s="43">
        <v>3</v>
      </c>
      <c r="Q6" s="45"/>
      <c r="S6" s="45"/>
      <c r="U6" s="45"/>
      <c r="W6" s="45">
        <v>4</v>
      </c>
      <c r="X6" s="42">
        <v>2</v>
      </c>
      <c r="Y6" s="45"/>
      <c r="AA6" s="45"/>
      <c r="AC6" s="45"/>
      <c r="AE6" s="45"/>
      <c r="AG6" s="45"/>
      <c r="AI6" s="45"/>
      <c r="AK6" s="45"/>
      <c r="AM6" s="45"/>
      <c r="AO6" s="45"/>
      <c r="AQ6" s="45"/>
      <c r="AS6" s="45"/>
    </row>
    <row r="7" spans="1:46" ht="25.05" customHeight="1">
      <c r="A7" s="42">
        <f t="shared" ref="A7:A11" si="1">A6</f>
        <v>3</v>
      </c>
      <c r="B7" s="42">
        <f t="shared" ref="B7:B11" si="2">B6</f>
        <v>2502</v>
      </c>
      <c r="C7" s="42">
        <f t="shared" ref="C7:C11" si="3">C6</f>
        <v>1160</v>
      </c>
      <c r="D7" s="19" t="str">
        <f t="shared" ref="D7:D11" si="4">D6</f>
        <v>امور جاری</v>
      </c>
      <c r="E7" s="42" t="str">
        <f t="shared" ref="E7:E11" si="5">E6</f>
        <v>روابط</v>
      </c>
      <c r="F7" s="42" t="str">
        <f t="shared" ref="F7:F11" si="6">F6</f>
        <v>نفر 14</v>
      </c>
      <c r="G7" s="42" t="str">
        <f t="shared" ref="G7:G11" si="7">G6</f>
        <v>نفر 15</v>
      </c>
      <c r="J7" s="42" t="s">
        <v>119</v>
      </c>
      <c r="K7" s="46">
        <v>7</v>
      </c>
      <c r="L7" s="47" cm="1">
        <f t="array" ref="L7">Table7[[#This Row],[مبلغ]]-SumifColor(Table7[[#This Row],[1]:[12]],$J$1,Table7[[#This Row],[1]:[12]])</f>
        <v>7</v>
      </c>
      <c r="M7" s="45"/>
      <c r="O7" s="45"/>
      <c r="Q7" s="45">
        <v>4</v>
      </c>
      <c r="R7" s="42">
        <v>3</v>
      </c>
      <c r="S7" s="45"/>
      <c r="U7" s="45"/>
      <c r="W7" s="45">
        <v>4</v>
      </c>
      <c r="X7" s="42">
        <v>1</v>
      </c>
      <c r="Y7" s="45">
        <v>4</v>
      </c>
      <c r="Z7" s="42">
        <v>3</v>
      </c>
      <c r="AA7" s="45"/>
      <c r="AC7" s="45"/>
      <c r="AE7" s="45"/>
      <c r="AG7" s="45"/>
      <c r="AI7" s="45"/>
      <c r="AK7" s="45"/>
      <c r="AM7" s="45"/>
      <c r="AO7" s="45"/>
      <c r="AQ7" s="45"/>
      <c r="AS7" s="45"/>
    </row>
    <row r="8" spans="1:46" ht="25.05" customHeight="1">
      <c r="A8" s="42">
        <f t="shared" si="1"/>
        <v>3</v>
      </c>
      <c r="B8" s="42">
        <f t="shared" si="2"/>
        <v>2502</v>
      </c>
      <c r="C8" s="42">
        <f t="shared" si="3"/>
        <v>1160</v>
      </c>
      <c r="D8" s="19" t="str">
        <f t="shared" si="4"/>
        <v>امور جاری</v>
      </c>
      <c r="E8" s="42" t="str">
        <f t="shared" si="5"/>
        <v>روابط</v>
      </c>
      <c r="F8" s="42" t="str">
        <f t="shared" si="6"/>
        <v>نفر 14</v>
      </c>
      <c r="G8" s="42" t="str">
        <f t="shared" si="7"/>
        <v>نفر 15</v>
      </c>
      <c r="J8" s="42" t="s">
        <v>122</v>
      </c>
      <c r="K8" s="46">
        <v>4.5</v>
      </c>
      <c r="L8" s="47" cm="1">
        <f t="array" ref="L8">Table7[[#This Row],[مبلغ]]-SumifColor(Table7[[#This Row],[1]:[12]],$J$1,Table7[[#This Row],[1]:[12]])</f>
        <v>4.5</v>
      </c>
      <c r="M8" s="45"/>
      <c r="O8" s="45"/>
      <c r="Q8" s="45"/>
      <c r="S8" s="45">
        <v>4</v>
      </c>
      <c r="T8" s="42">
        <v>3</v>
      </c>
      <c r="U8" s="45"/>
      <c r="W8" s="45"/>
      <c r="Y8" s="45"/>
      <c r="AA8" s="45">
        <v>4</v>
      </c>
      <c r="AB8" s="42">
        <v>1.5</v>
      </c>
      <c r="AC8" s="45"/>
      <c r="AE8" s="45"/>
      <c r="AG8" s="45"/>
      <c r="AI8" s="45"/>
      <c r="AK8" s="45"/>
      <c r="AM8" s="45"/>
      <c r="AO8" s="45"/>
      <c r="AQ8" s="45"/>
      <c r="AS8" s="45"/>
    </row>
    <row r="9" spans="1:46" ht="25.05" customHeight="1">
      <c r="A9" s="42">
        <f t="shared" si="1"/>
        <v>3</v>
      </c>
      <c r="B9" s="42">
        <f t="shared" si="2"/>
        <v>2502</v>
      </c>
      <c r="C9" s="42">
        <f t="shared" si="3"/>
        <v>1160</v>
      </c>
      <c r="D9" s="19" t="str">
        <f t="shared" si="4"/>
        <v>امور جاری</v>
      </c>
      <c r="E9" s="42" t="str">
        <f t="shared" si="5"/>
        <v>روابط</v>
      </c>
      <c r="F9" s="42" t="str">
        <f t="shared" si="6"/>
        <v>نفر 14</v>
      </c>
      <c r="G9" s="42" t="str">
        <f t="shared" si="7"/>
        <v>نفر 15</v>
      </c>
      <c r="J9" s="42" t="s">
        <v>126</v>
      </c>
      <c r="K9" s="46">
        <v>5.5</v>
      </c>
      <c r="L9" s="47" cm="1">
        <f t="array" ref="L9">Table7[[#This Row],[مبلغ]]-SumifColor(Table7[[#This Row],[1]:[12]],$J$1,Table7[[#This Row],[1]:[12]])</f>
        <v>5.5</v>
      </c>
      <c r="M9" s="45"/>
      <c r="O9" s="45"/>
      <c r="Q9" s="45"/>
      <c r="S9" s="45"/>
      <c r="U9" s="45">
        <v>4</v>
      </c>
      <c r="V9" s="42">
        <v>3</v>
      </c>
      <c r="W9" s="45"/>
      <c r="Y9" s="45"/>
      <c r="AA9" s="45">
        <v>4</v>
      </c>
      <c r="AB9" s="42">
        <v>2.5</v>
      </c>
      <c r="AC9" s="45"/>
      <c r="AE9" s="45"/>
      <c r="AG9" s="45"/>
      <c r="AI9" s="45"/>
      <c r="AK9" s="45"/>
      <c r="AM9" s="45"/>
      <c r="AO9" s="45"/>
      <c r="AQ9" s="45"/>
      <c r="AS9" s="45"/>
    </row>
    <row r="10" spans="1:46" ht="25.05" customHeight="1">
      <c r="A10" s="42">
        <v>4</v>
      </c>
      <c r="B10" s="42">
        <v>2503</v>
      </c>
      <c r="C10" s="42">
        <v>0</v>
      </c>
      <c r="D10" s="19" t="s">
        <v>16</v>
      </c>
      <c r="E10" s="42" t="s">
        <v>112</v>
      </c>
      <c r="F10" s="42" t="s">
        <v>118</v>
      </c>
      <c r="G10" s="42" t="s">
        <v>132</v>
      </c>
      <c r="H10" s="42">
        <v>12</v>
      </c>
      <c r="J10" s="42" t="s">
        <v>135</v>
      </c>
      <c r="K10" s="46">
        <v>5</v>
      </c>
      <c r="L10" s="47" cm="1">
        <f t="array" ref="L10">Table7[[#This Row],[مبلغ]]-SumifColor(Table7[[#This Row],[1]:[12]],$J$1,Table7[[#This Row],[1]:[12]])</f>
        <v>0</v>
      </c>
      <c r="M10" s="45"/>
      <c r="O10" s="45">
        <v>5</v>
      </c>
      <c r="P10" s="43">
        <v>5</v>
      </c>
      <c r="Q10" s="45"/>
      <c r="S10" s="45"/>
      <c r="U10" s="45"/>
      <c r="W10" s="45"/>
      <c r="Y10" s="45"/>
      <c r="AA10" s="45"/>
      <c r="AC10" s="45"/>
      <c r="AE10" s="45"/>
      <c r="AG10" s="45"/>
      <c r="AI10" s="45"/>
      <c r="AK10" s="45"/>
      <c r="AM10" s="45"/>
      <c r="AO10" s="45"/>
      <c r="AQ10" s="45"/>
      <c r="AS10" s="45"/>
    </row>
    <row r="11" spans="1:46" ht="25.05" customHeight="1">
      <c r="A11" s="42">
        <f t="shared" si="1"/>
        <v>4</v>
      </c>
      <c r="B11" s="42">
        <f t="shared" si="2"/>
        <v>2503</v>
      </c>
      <c r="C11" s="42">
        <f t="shared" si="3"/>
        <v>0</v>
      </c>
      <c r="D11" s="19" t="str">
        <f t="shared" si="4"/>
        <v>خانه</v>
      </c>
      <c r="E11" s="42" t="str">
        <f t="shared" si="5"/>
        <v>سید</v>
      </c>
      <c r="F11" s="42" t="str">
        <f t="shared" si="6"/>
        <v>نفر 3</v>
      </c>
      <c r="G11" s="42" t="str">
        <f t="shared" si="7"/>
        <v>نفر 17</v>
      </c>
      <c r="J11" s="42" t="s">
        <v>127</v>
      </c>
      <c r="K11" s="46">
        <v>7</v>
      </c>
      <c r="L11" s="47" cm="1">
        <f t="array" ref="L11">Table7[[#This Row],[مبلغ]]-SumifColor(Table7[[#This Row],[1]:[12]],$J$1,Table7[[#This Row],[1]:[12]])</f>
        <v>7</v>
      </c>
      <c r="M11" s="45"/>
      <c r="O11" s="45">
        <v>15</v>
      </c>
      <c r="P11" s="42">
        <v>7</v>
      </c>
      <c r="Q11" s="45"/>
      <c r="S11" s="45"/>
      <c r="U11" s="45"/>
      <c r="W11" s="45"/>
      <c r="Y11" s="45"/>
      <c r="AA11" s="45"/>
      <c r="AC11" s="45"/>
      <c r="AE11" s="45"/>
      <c r="AG11" s="45"/>
      <c r="AI11" s="45"/>
      <c r="AK11" s="45"/>
      <c r="AM11" s="45"/>
      <c r="AO11" s="45"/>
      <c r="AQ11" s="45"/>
      <c r="AS11" s="45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prompt="موضوع" xr:uid="{4D404590-5046-4DD4-9E83-548C7C683B25}">
          <x14:formula1>
            <xm:f>موضوعات!$B$3:$B$22</xm:f>
          </x14:formula1>
          <xm:sqref>D3:D11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E410-5F54-41B6-9F65-19D914C82A4E}">
  <dimension ref="A1:C29"/>
  <sheetViews>
    <sheetView rightToLeft="1" zoomScaleNormal="100" workbookViewId="0">
      <selection activeCell="D17" sqref="D17"/>
    </sheetView>
  </sheetViews>
  <sheetFormatPr defaultRowHeight="19.95" customHeight="1"/>
  <cols>
    <col min="1" max="1" width="10.109375" style="20" customWidth="1"/>
    <col min="2" max="2" width="16.6640625" customWidth="1"/>
  </cols>
  <sheetData>
    <row r="1" spans="1:3" ht="19.95" customHeight="1">
      <c r="C1">
        <f>SUM(titles[مجموع])</f>
        <v>72</v>
      </c>
    </row>
    <row r="2" spans="1:3" ht="19.95" customHeight="1">
      <c r="A2" s="24" t="s">
        <v>60</v>
      </c>
      <c r="B2" s="26" t="s">
        <v>56</v>
      </c>
      <c r="C2" s="25" t="s">
        <v>4</v>
      </c>
    </row>
    <row r="3" spans="1:3" ht="19.95" customHeight="1">
      <c r="A3" s="11"/>
      <c r="B3" s="11" t="s">
        <v>58</v>
      </c>
      <c r="C3" s="11">
        <f>SUMIFS('سال 1404'!G$4:G$31,'سال 1404'!H$4:H$31,titles[[#This Row],[موضوعات]])</f>
        <v>0</v>
      </c>
    </row>
    <row r="4" spans="1:3" ht="19.95" customHeight="1">
      <c r="A4" s="11"/>
      <c r="B4" s="11" t="s">
        <v>17</v>
      </c>
      <c r="C4" s="11">
        <f>SUMIFS('سال 1404'!G$4:G$31,'سال 1404'!H$4:H$31,titles[[#This Row],[موضوعات]])</f>
        <v>0</v>
      </c>
    </row>
    <row r="5" spans="1:3" ht="19.95" customHeight="1">
      <c r="A5" s="11"/>
      <c r="B5" s="11" t="s">
        <v>59</v>
      </c>
      <c r="C5" s="11">
        <f>SUMIFS('سال 1404'!G$4:G$31,'سال 1404'!H$4:H$31,titles[[#This Row],[موضوعات]])</f>
        <v>0</v>
      </c>
    </row>
    <row r="6" spans="1:3" ht="19.95" customHeight="1">
      <c r="A6" s="11"/>
      <c r="B6" s="11" t="s">
        <v>11</v>
      </c>
      <c r="C6" s="11">
        <f>SUMIFS('سال 1404'!G$4:G$31,'سال 1404'!H$4:H$31,titles[[#This Row],[موضوعات]])</f>
        <v>0</v>
      </c>
    </row>
    <row r="7" spans="1:3" ht="19.95" customHeight="1">
      <c r="A7" s="11"/>
      <c r="B7" s="11" t="s">
        <v>12</v>
      </c>
      <c r="C7" s="11">
        <f>SUMIFS('سال 1404'!G$4:G$31,'سال 1404'!H$4:H$31,titles[[#This Row],[موضوعات]])</f>
        <v>0</v>
      </c>
    </row>
    <row r="8" spans="1:3" ht="19.95" customHeight="1">
      <c r="A8" s="11"/>
      <c r="B8" s="11" t="s">
        <v>16</v>
      </c>
      <c r="C8" s="11">
        <f>SUMIFS('سال 1404'!G$4:G$31,'سال 1404'!H$4:H$31,titles[[#This Row],[موضوعات]])</f>
        <v>26</v>
      </c>
    </row>
    <row r="9" spans="1:3" ht="19.95" customHeight="1">
      <c r="A9" s="11"/>
      <c r="B9" s="11" t="s">
        <v>52</v>
      </c>
      <c r="C9" s="11">
        <f>SUMIFS('سال 1404'!G$4:G$31,'سال 1404'!H$4:H$31,titles[[#This Row],[موضوعات]])</f>
        <v>20</v>
      </c>
    </row>
    <row r="10" spans="1:3" ht="19.95" customHeight="1">
      <c r="A10" s="11"/>
      <c r="B10" s="11" t="s">
        <v>55</v>
      </c>
      <c r="C10" s="11">
        <f>SUMIFS('سال 1404'!G$4:G$31,'سال 1404'!H$4:H$31,titles[[#This Row],[موضوعات]])</f>
        <v>0</v>
      </c>
    </row>
    <row r="11" spans="1:3" ht="19.95" customHeight="1">
      <c r="A11" s="11"/>
      <c r="B11" s="11" t="s">
        <v>19</v>
      </c>
      <c r="C11" s="11">
        <f>SUMIFS('سال 1404'!G$4:G$31,'سال 1404'!H$4:H$31,titles[[#This Row],[موضوعات]])</f>
        <v>15</v>
      </c>
    </row>
    <row r="12" spans="1:3" ht="19.95" customHeight="1">
      <c r="A12" s="11"/>
      <c r="B12" s="11" t="s">
        <v>51</v>
      </c>
      <c r="C12" s="11">
        <f>SUMIFS('سال 1404'!G$4:G$31,'سال 1404'!H$4:H$31,titles[[#This Row],[موضوعات]])</f>
        <v>0</v>
      </c>
    </row>
    <row r="13" spans="1:3" ht="19.95" customHeight="1">
      <c r="A13" s="11"/>
      <c r="B13" s="11" t="s">
        <v>57</v>
      </c>
      <c r="C13" s="11">
        <f>SUMIFS('سال 1404'!G$4:G$31,'سال 1404'!H$4:H$31,titles[[#This Row],[موضوعات]])</f>
        <v>0</v>
      </c>
    </row>
    <row r="14" spans="1:3" ht="19.95" customHeight="1">
      <c r="A14" s="11"/>
      <c r="B14" s="11" t="s">
        <v>14</v>
      </c>
      <c r="C14" s="11">
        <f>SUMIFS('سال 1404'!G$4:G$31,'سال 1404'!H$4:H$31,titles[[#This Row],[موضوعات]])</f>
        <v>0</v>
      </c>
    </row>
    <row r="15" spans="1:3" ht="19.95" customHeight="1">
      <c r="A15" s="11">
        <v>0</v>
      </c>
      <c r="B15" s="24" t="s">
        <v>53</v>
      </c>
      <c r="C15" s="11">
        <f>SUMIFS('سال 1404'!G$4:G$31,'سال 1404'!H$4:H$31,titles[[#This Row],[موضوعات]])</f>
        <v>0</v>
      </c>
    </row>
    <row r="16" spans="1:3" ht="19.95" customHeight="1">
      <c r="A16" s="11"/>
      <c r="B16" s="11" t="s">
        <v>54</v>
      </c>
      <c r="C16" s="11">
        <f>SUMIFS('سال 1404'!G$4:G$31,'سال 1404'!H$4:H$31,titles[[#This Row],[موضوعات]])</f>
        <v>11</v>
      </c>
    </row>
    <row r="17" spans="1:3" ht="19.95" customHeight="1">
      <c r="A17" s="11"/>
      <c r="B17" s="24" t="s">
        <v>18</v>
      </c>
      <c r="C17" s="11">
        <f>SUMIFS('سال 1404'!G$4:G$31,'سال 1404'!H$4:H$31,titles[[#This Row],[موضوعات]])</f>
        <v>0</v>
      </c>
    </row>
    <row r="18" spans="1:3" ht="19.95" customHeight="1">
      <c r="A18" s="11"/>
      <c r="B18" s="11" t="s">
        <v>15</v>
      </c>
      <c r="C18" s="11">
        <f>SUMIFS('سال 1404'!G$4:G$31,'سال 1404'!H$4:H$31,titles[[#This Row],[موضوعات]])</f>
        <v>0</v>
      </c>
    </row>
    <row r="19" spans="1:3" ht="19.95" customHeight="1">
      <c r="A19" s="11"/>
      <c r="B19" s="11" t="s">
        <v>13</v>
      </c>
      <c r="C19" s="11">
        <f>SUMIFS('سال 1404'!G$4:G$31,'سال 1404'!H$4:H$31,titles[[#This Row],[موضوعات]])</f>
        <v>0</v>
      </c>
    </row>
    <row r="20" spans="1:3" ht="19.95" customHeight="1">
      <c r="A20" s="11"/>
      <c r="B20" s="11"/>
      <c r="C20" s="11">
        <f>SUMIFS('سال 1404'!G$4:G$31,'سال 1404'!H$4:H$31,titles[[#This Row],[موضوعات]])</f>
        <v>0</v>
      </c>
    </row>
    <row r="21" spans="1:3" ht="19.95" customHeight="1">
      <c r="A21" s="11"/>
      <c r="B21" s="11"/>
      <c r="C21" s="11">
        <f>SUMIFS('سال 1404'!G$4:G$31,'سال 1404'!H$4:H$31,titles[[#This Row],[موضوعات]])</f>
        <v>0</v>
      </c>
    </row>
    <row r="22" spans="1:3" ht="19.95" customHeight="1">
      <c r="A22" s="11"/>
      <c r="B22" s="11"/>
      <c r="C22" s="11">
        <f>SUMIFS('سال 1404'!G$4:G$31,'سال 1404'!H$4:H$31,titles[[#This Row],[موضوعات]])</f>
        <v>0</v>
      </c>
    </row>
    <row r="23" spans="1:3" ht="19.95" customHeight="1">
      <c r="A23"/>
    </row>
    <row r="24" spans="1:3" ht="19.95" customHeight="1">
      <c r="A24"/>
    </row>
    <row r="25" spans="1:3" ht="19.95" customHeight="1">
      <c r="A25"/>
    </row>
    <row r="26" spans="1:3" ht="19.95" customHeight="1">
      <c r="A26"/>
    </row>
    <row r="27" spans="1:3" ht="19.95" customHeight="1">
      <c r="A27"/>
    </row>
    <row r="28" spans="1:3" ht="19.95" customHeight="1">
      <c r="A28"/>
    </row>
    <row r="29" spans="1:3" ht="19.95" customHeight="1">
      <c r="A2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1B35C-57A7-43EF-A433-880A97704726}">
  <dimension ref="A1:N23"/>
  <sheetViews>
    <sheetView rightToLeft="1" zoomScale="90" zoomScaleNormal="90" workbookViewId="0">
      <selection activeCell="H21" sqref="H21"/>
    </sheetView>
  </sheetViews>
  <sheetFormatPr defaultRowHeight="22.05" customHeight="1"/>
  <cols>
    <col min="2" max="2" width="18.88671875" customWidth="1"/>
    <col min="3" max="4" width="18.88671875" style="23" customWidth="1"/>
    <col min="5" max="6" width="18.88671875" style="38" customWidth="1"/>
    <col min="7" max="7" width="18.88671875" style="23" customWidth="1"/>
    <col min="8" max="8" width="11" customWidth="1"/>
    <col min="9" max="9" width="12.44140625" style="21" customWidth="1"/>
    <col min="10" max="10" width="11" customWidth="1"/>
    <col min="11" max="11" width="14.109375" customWidth="1"/>
    <col min="12" max="12" width="13.21875" customWidth="1"/>
    <col min="13" max="13" width="12" customWidth="1"/>
  </cols>
  <sheetData>
    <row r="1" spans="1:14" ht="22.05" customHeight="1">
      <c r="A1" s="22" t="s">
        <v>4</v>
      </c>
      <c r="J1" s="41">
        <f>SUM(J3:J1668)</f>
        <v>41</v>
      </c>
      <c r="K1" s="41">
        <f>SUM(K3:K1668)</f>
        <v>14</v>
      </c>
      <c r="L1" s="41">
        <f>SUM(L3:L1668)</f>
        <v>72</v>
      </c>
      <c r="M1" s="41">
        <f>SUM(M3:M1668)</f>
        <v>14</v>
      </c>
      <c r="N1">
        <f>SUM(N3:N1668)</f>
        <v>0</v>
      </c>
    </row>
    <row r="2" spans="1:14" s="27" customFormat="1" ht="42.6" customHeight="1">
      <c r="B2" s="28" t="s">
        <v>61</v>
      </c>
      <c r="C2" s="28" t="s">
        <v>68</v>
      </c>
      <c r="D2" s="28" t="s">
        <v>69</v>
      </c>
      <c r="E2" s="28" t="s">
        <v>72</v>
      </c>
      <c r="F2" s="28" t="s">
        <v>73</v>
      </c>
      <c r="G2" s="28" t="s">
        <v>74</v>
      </c>
      <c r="H2" s="28" t="s">
        <v>71</v>
      </c>
      <c r="I2" s="28" t="s">
        <v>62</v>
      </c>
      <c r="J2" s="28" t="s">
        <v>70</v>
      </c>
      <c r="K2" s="28" t="s">
        <v>64</v>
      </c>
      <c r="L2" s="28" t="s">
        <v>65</v>
      </c>
      <c r="M2" s="28" t="s">
        <v>66</v>
      </c>
      <c r="N2" s="28" t="s">
        <v>67</v>
      </c>
    </row>
    <row r="3" spans="1:14" ht="22.05" customHeight="1">
      <c r="B3" s="35" t="s">
        <v>116</v>
      </c>
      <c r="C3" s="35"/>
      <c r="D3" s="35"/>
      <c r="E3" s="35"/>
      <c r="F3" s="35"/>
      <c r="G3" s="35"/>
      <c r="H3" s="35"/>
      <c r="I3" s="35"/>
      <c r="J3" s="35">
        <f>SUMIFS('سال 1404'!N$4:N$31,'سال 1404'!L$4:L$31,person[[#This Row],[نام و نام خانوادگی]])</f>
        <v>1.5</v>
      </c>
      <c r="K3" s="36">
        <f>SUMIFS('سال 1404'!O$4:O$31,'سال 1404'!L$4:L$31,person[[#This Row],[نام و نام خانوادگی]])</f>
        <v>0</v>
      </c>
      <c r="L3" s="36">
        <f>SUMIFS('سال 1404'!N$4:N$31,'سال 1404'!E$4:E$31,person[[#This Row],[نام و نام خانوادگی]])</f>
        <v>31</v>
      </c>
      <c r="M3" s="36">
        <f>SUMIFS('سال 1404'!O$4:O$31,'سال 1404'!E$4:E$31,person[[#This Row],[نام و نام خانوادگی]])</f>
        <v>0</v>
      </c>
      <c r="N3" s="36">
        <f>person[[#This Row],[مانده طلبکاری]]-person[[#This Row],[مانده بدهی]]</f>
        <v>0</v>
      </c>
    </row>
    <row r="4" spans="1:14" ht="22.05" customHeight="1">
      <c r="B4" s="35" t="s">
        <v>117</v>
      </c>
      <c r="C4" s="35"/>
      <c r="D4" s="35"/>
      <c r="E4" s="35"/>
      <c r="F4" s="35"/>
      <c r="G4" s="8"/>
      <c r="H4" s="35"/>
      <c r="I4" s="35"/>
      <c r="J4" s="36">
        <f>SUMIFS('سال 1404'!O32:O305,'سال 1404'!L32:L305,N8)</f>
        <v>0</v>
      </c>
      <c r="K4" s="36">
        <f>SUMIFS('سال 1404'!O$4:O$31,'سال 1404'!L$4:L$31,person[[#This Row],[نام و نام خانوادگی]])</f>
        <v>2</v>
      </c>
      <c r="L4" s="36">
        <f>SUMIFS('سال 1404'!N$4:N$31,'سال 1404'!E$4:E$31,person[[#This Row],[نام و نام خانوادگی]])</f>
        <v>0</v>
      </c>
      <c r="M4" s="36">
        <f>SUMIFS('سال 1404'!O$4:O$31,'سال 1404'!E$4:E$31,person[[#This Row],[نام و نام خانوادگی]])</f>
        <v>0</v>
      </c>
      <c r="N4" s="36">
        <f>person[[#This Row],[مانده طلبکاری]]-person[[#This Row],[مانده بدهی]]</f>
        <v>2</v>
      </c>
    </row>
    <row r="5" spans="1:14" ht="22.05" customHeight="1">
      <c r="B5" s="35" t="s">
        <v>118</v>
      </c>
      <c r="C5" s="35"/>
      <c r="D5" s="35"/>
      <c r="E5" s="35"/>
      <c r="F5" s="35"/>
      <c r="G5" s="35"/>
      <c r="H5" s="35"/>
      <c r="I5" s="35"/>
      <c r="J5" s="35">
        <f>SUMIFS('سال 1404'!N$4:N$31,'سال 1404'!L$4:L$31,person[[#This Row],[نام و نام خانوادگی]])</f>
        <v>7</v>
      </c>
      <c r="K5" s="36">
        <f>SUMIFS('سال 1404'!O$4:O$31,'سال 1404'!L$4:L$31,person[[#This Row],[نام و نام خانوادگی]])</f>
        <v>0</v>
      </c>
      <c r="L5" s="36">
        <f>SUMIFS('سال 1404'!N$4:N$31,'سال 1404'!E$4:E$31,person[[#This Row],[نام و نام خانوادگی]])</f>
        <v>15</v>
      </c>
      <c r="M5" s="36">
        <f>SUMIFS('سال 1404'!O$4:O$31,'سال 1404'!E$4:E$31,person[[#This Row],[نام و نام خانوادگی]])</f>
        <v>7</v>
      </c>
      <c r="N5" s="36">
        <f>person[[#This Row],[مانده طلبکاری]]-person[[#This Row],[مانده بدهی]]</f>
        <v>-7</v>
      </c>
    </row>
    <row r="6" spans="1:14" ht="22.05" customHeight="1">
      <c r="B6" s="35" t="s">
        <v>119</v>
      </c>
      <c r="C6" s="35"/>
      <c r="D6" s="35"/>
      <c r="E6" s="35"/>
      <c r="F6" s="35"/>
      <c r="G6" s="35"/>
      <c r="H6" s="35" t="s">
        <v>119</v>
      </c>
      <c r="I6" s="35"/>
      <c r="J6" s="35">
        <f>SUMIFS('سال 1404'!N$4:N$31,'سال 1404'!L$4:L$31,person[[#This Row],[نام و نام خانوادگی]])</f>
        <v>16.5</v>
      </c>
      <c r="K6" s="36">
        <f>SUMIFS('سال 1404'!O$4:O$31,'سال 1404'!L$4:L$31,person[[#This Row],[نام و نام خانوادگی]])</f>
        <v>2.5</v>
      </c>
      <c r="L6" s="36">
        <f>SUMIFS('سال 1404'!N$4:N$31,'سال 1404'!E$4:E$31,person[[#This Row],[نام و نام خانوادگی]])</f>
        <v>0</v>
      </c>
      <c r="M6" s="36">
        <f>SUMIFS('سال 1404'!O$4:O$31,'سال 1404'!E$4:E$31,person[[#This Row],[نام و نام خانوادگی]])</f>
        <v>0</v>
      </c>
      <c r="N6" s="36">
        <f>person[[#This Row],[مانده طلبکاری]]-person[[#This Row],[مانده بدهی]]</f>
        <v>2.5</v>
      </c>
    </row>
    <row r="7" spans="1:14" ht="22.05" customHeight="1">
      <c r="B7" s="35" t="s">
        <v>120</v>
      </c>
      <c r="C7" s="35"/>
      <c r="D7" s="35"/>
      <c r="E7" s="35"/>
      <c r="F7" s="8"/>
      <c r="G7" s="8" t="s">
        <v>133</v>
      </c>
      <c r="H7" s="9"/>
      <c r="I7" s="35"/>
      <c r="J7" s="36">
        <f>SUMIFS('سال 1404'!O32:O246,'سال 1404'!L32:L246,N11)</f>
        <v>0</v>
      </c>
      <c r="K7" s="36">
        <f>SUMIFS('سال 1404'!O$4:O$31,'سال 1404'!L$4:L$31,person[[#This Row],[نام و نام خانوادگی]])</f>
        <v>0</v>
      </c>
      <c r="L7" s="36">
        <f>SUMIFS('سال 1404'!N$4:N$31,'سال 1404'!E$4:E$31,person[[#This Row],[نام و نام خانوادگی]])</f>
        <v>15</v>
      </c>
      <c r="M7" s="36">
        <f>SUMIFS('سال 1404'!O$4:O$31,'سال 1404'!E$4:E$31,person[[#This Row],[نام و نام خانوادگی]])</f>
        <v>5</v>
      </c>
      <c r="N7" s="36">
        <f>person[[#This Row],[مانده طلبکاری]]-person[[#This Row],[مانده بدهی]]</f>
        <v>-5</v>
      </c>
    </row>
    <row r="8" spans="1:14" ht="22.05" customHeight="1">
      <c r="B8" s="35" t="s">
        <v>121</v>
      </c>
      <c r="C8" s="35"/>
      <c r="D8" s="35"/>
      <c r="E8" s="35"/>
      <c r="F8" s="35"/>
      <c r="G8" s="35"/>
      <c r="H8" s="35"/>
      <c r="I8" s="35">
        <v>1</v>
      </c>
      <c r="J8" s="35">
        <f>SUMIFS('سال 1404'!N$4:N$31,'سال 1404'!L$4:L$31,person[[#This Row],[نام و نام خانوادگی]])</f>
        <v>15</v>
      </c>
      <c r="K8" s="36">
        <f>SUMIFS('سال 1404'!O$4:O$31,'سال 1404'!L$4:L$31,person[[#This Row],[نام و نام خانوادگی]])</f>
        <v>5</v>
      </c>
      <c r="L8" s="36">
        <f>SUMIFS('سال 1404'!N$4:N$31,'سال 1404'!E$4:E$31,person[[#This Row],[نام و نام خانوادگی]])</f>
        <v>0</v>
      </c>
      <c r="M8" s="36">
        <f>SUMIFS('سال 1404'!O$4:O$31,'سال 1404'!E$4:E$31,person[[#This Row],[نام و نام خانوادگی]])</f>
        <v>0</v>
      </c>
      <c r="N8" s="36">
        <f>person[[#This Row],[مانده طلبکاری]]-person[[#This Row],[مانده بدهی]]</f>
        <v>5</v>
      </c>
    </row>
    <row r="9" spans="1:14" ht="22.05" customHeight="1">
      <c r="B9" s="35" t="s">
        <v>122</v>
      </c>
      <c r="C9" s="35"/>
      <c r="D9" s="35"/>
      <c r="E9" s="35"/>
      <c r="F9" s="35"/>
      <c r="G9" s="37" t="s">
        <v>117</v>
      </c>
      <c r="H9" s="39"/>
      <c r="I9" s="35"/>
      <c r="J9" s="35">
        <f>SUMIFS('سال 1404'!N$4:N$31,'سال 1404'!L$4:L$31,person[[#This Row],[نام و نام خانوادگی]])</f>
        <v>0</v>
      </c>
      <c r="K9" s="36">
        <f>SUMIFS('سال 1404'!O$4:O$31,'سال 1404'!L$4:L$31,person[[#This Row],[نام و نام خانوادگی]])</f>
        <v>0</v>
      </c>
      <c r="L9" s="36">
        <f>SUMIFS('سال 1404'!N$4:N$31,'سال 1404'!E$4:E$31,person[[#This Row],[نام و نام خانوادگی]])</f>
        <v>11</v>
      </c>
      <c r="M9" s="36">
        <f>SUMIFS('سال 1404'!O$4:O$31,'سال 1404'!E$4:E$31,person[[#This Row],[نام و نام خانوادگی]])</f>
        <v>2</v>
      </c>
      <c r="N9" s="36">
        <f>person[[#This Row],[مانده طلبکاری]]-person[[#This Row],[مانده بدهی]]</f>
        <v>-2</v>
      </c>
    </row>
    <row r="10" spans="1:14" ht="22.05" customHeight="1">
      <c r="B10" s="35" t="s">
        <v>123</v>
      </c>
      <c r="C10" s="35"/>
      <c r="D10" s="35"/>
      <c r="E10" s="35"/>
      <c r="F10" s="35"/>
      <c r="G10" s="35"/>
      <c r="H10" s="35"/>
      <c r="I10" s="35"/>
      <c r="J10" s="36">
        <f>SUMIFS('سال 1404'!O32:O257,'سال 1404'!L32:L257,N14)</f>
        <v>0</v>
      </c>
      <c r="K10" s="36">
        <f>SUMIFS('سال 1404'!O$4:O$31,'سال 1404'!L$4:L$31,person[[#This Row],[نام و نام خانوادگی]])</f>
        <v>1</v>
      </c>
      <c r="L10" s="36">
        <f>SUMIFS('سال 1404'!N$4:N$31,'سال 1404'!E$4:E$31,person[[#This Row],[نام و نام خانوادگی]])</f>
        <v>0</v>
      </c>
      <c r="M10" s="36">
        <f>SUMIFS('سال 1404'!O$4:O$31,'سال 1404'!E$4:E$31,person[[#This Row],[نام و نام خانوادگی]])</f>
        <v>0</v>
      </c>
      <c r="N10" s="36">
        <f>person[[#This Row],[مانده طلبکاری]]-person[[#This Row],[مانده بدهی]]</f>
        <v>1</v>
      </c>
    </row>
    <row r="11" spans="1:14" ht="22.05" customHeight="1">
      <c r="B11" s="35" t="s">
        <v>124</v>
      </c>
      <c r="C11" s="35"/>
      <c r="D11" s="35"/>
      <c r="E11" s="35"/>
      <c r="F11" s="35"/>
      <c r="G11" s="35"/>
      <c r="H11" s="35" t="s">
        <v>117</v>
      </c>
      <c r="I11" s="35"/>
      <c r="J11" s="36">
        <f>SUMIFS('سال 1404'!O32:O264,'سال 1404'!L32:L264,N15)</f>
        <v>0</v>
      </c>
      <c r="K11" s="36">
        <f>SUMIFS('سال 1404'!O$4:O$31,'سال 1404'!L$4:L$31,person[[#This Row],[نام و نام خانوادگی]])</f>
        <v>1</v>
      </c>
      <c r="L11" s="36">
        <f>SUMIFS('سال 1404'!N$4:N$31,'سال 1404'!E$4:E$31,person[[#This Row],[نام و نام خانوادگی]])</f>
        <v>0</v>
      </c>
      <c r="M11" s="36">
        <f>SUMIFS('سال 1404'!O$4:O$31,'سال 1404'!E$4:E$31,person[[#This Row],[نام و نام خانوادگی]])</f>
        <v>0</v>
      </c>
      <c r="N11" s="36">
        <f>person[[#This Row],[مانده طلبکاری]]-person[[#This Row],[مانده بدهی]]</f>
        <v>1</v>
      </c>
    </row>
    <row r="12" spans="1:14" ht="22.05" customHeight="1">
      <c r="B12" s="35" t="s">
        <v>125</v>
      </c>
      <c r="C12" s="39"/>
      <c r="D12" s="39"/>
      <c r="E12" s="35"/>
      <c r="F12" s="35"/>
      <c r="G12" s="9"/>
      <c r="H12" s="39"/>
      <c r="I12" s="39"/>
      <c r="J12" s="40">
        <f>SUMIFS('سال 1404'!O32:O310,'سال 1404'!L32:L310,N16)</f>
        <v>0</v>
      </c>
      <c r="K12" s="40">
        <f>SUMIFS('سال 1404'!O$4:O$31,'سال 1404'!L$4:L$31,person[[#This Row],[نام و نام خانوادگی]])</f>
        <v>1.5</v>
      </c>
      <c r="L12" s="40">
        <f>SUMIFS('سال 1404'!N$4:N$31,'سال 1404'!E$4:E$31,person[[#This Row],[نام و نام خانوادگی]])</f>
        <v>0</v>
      </c>
      <c r="M12" s="40">
        <f>SUMIFS('سال 1404'!O$4:O$31,'سال 1404'!E$4:E$31,person[[#This Row],[نام و نام خانوادگی]])</f>
        <v>0</v>
      </c>
      <c r="N12" s="40">
        <f>person[[#This Row],[مانده طلبکاری]]-person[[#This Row],[مانده بدهی]]</f>
        <v>1.5</v>
      </c>
    </row>
    <row r="13" spans="1:14" ht="22.05" customHeight="1">
      <c r="B13" s="35" t="s">
        <v>126</v>
      </c>
      <c r="C13" s="35"/>
      <c r="D13" s="35"/>
      <c r="E13" s="35"/>
      <c r="F13" s="35"/>
      <c r="G13" s="35"/>
      <c r="H13" s="35"/>
      <c r="I13" s="35"/>
      <c r="J13" s="35">
        <f>SUMIFS('سال 1404'!N$4:N$31,'سال 1404'!L$4:L$31,person[[#This Row],[نام و نام خانوادگی]])</f>
        <v>1</v>
      </c>
      <c r="K13" s="36">
        <f>SUMIFS('سال 1404'!O$4:O$31,'سال 1404'!L$4:L$31,person[[#This Row],[نام و نام خانوادگی]])</f>
        <v>1</v>
      </c>
      <c r="L13" s="36">
        <f>SUMIFS('سال 1404'!N$4:N$31,'سال 1404'!E$4:E$31,person[[#This Row],[نام و نام خانوادگی]])</f>
        <v>0</v>
      </c>
      <c r="M13" s="36">
        <f>SUMIFS('سال 1404'!O$4:O$31,'سال 1404'!E$4:E$31,person[[#This Row],[نام و نام خانوادگی]])</f>
        <v>0</v>
      </c>
      <c r="N13" s="36">
        <f>person[[#This Row],[مانده طلبکاری]]-person[[#This Row],[مانده بدهی]]</f>
        <v>1</v>
      </c>
    </row>
    <row r="14" spans="1:14" ht="22.05" customHeight="1">
      <c r="B14" s="35" t="s">
        <v>127</v>
      </c>
      <c r="C14" s="35"/>
      <c r="D14" s="35"/>
      <c r="E14" s="35"/>
      <c r="F14" s="35"/>
      <c r="G14" s="35"/>
      <c r="H14" s="35" t="s">
        <v>118</v>
      </c>
      <c r="I14" s="35">
        <v>1</v>
      </c>
      <c r="J14" s="35">
        <f>SUMIFS('سال 1404'!N$4:N$31,'سال 1404'!L$4:L$31,person[[#This Row],[نام و نام خانوادگی]])</f>
        <v>0</v>
      </c>
      <c r="K14" s="35">
        <f>SUMIFS('سال 1404'!O$4:O$31,'سال 1404'!L$4:L$31,person[[#This Row],[نام و نام خانوادگی]])</f>
        <v>0</v>
      </c>
      <c r="L14" s="35">
        <f>SUMIFS('سال 1404'!N$4:N$31,'سال 1404'!E$4:E$31,person[[#This Row],[نام و نام خانوادگی]])</f>
        <v>0</v>
      </c>
      <c r="M14" s="35">
        <f>SUMIFS('سال 1404'!O$4:O$31,'سال 1404'!E$4:E$31,person[[#This Row],[نام و نام خانوادگی]])</f>
        <v>0</v>
      </c>
      <c r="N14" s="35">
        <f>person[[#This Row],[مانده طلبکاری]]-person[[#This Row],[مانده بدهی]]</f>
        <v>0</v>
      </c>
    </row>
    <row r="15" spans="1:14" ht="22.05" customHeight="1">
      <c r="B15" s="35" t="s">
        <v>128</v>
      </c>
      <c r="C15" s="39"/>
      <c r="D15" s="39"/>
      <c r="E15" s="35"/>
      <c r="F15" s="35"/>
      <c r="G15" s="35"/>
      <c r="H15" s="39"/>
      <c r="I15" s="39"/>
      <c r="J15" s="40">
        <f>SUMIFS('سال 1404'!O32:O314,'سال 1404'!L32:L314,N19)</f>
        <v>0</v>
      </c>
      <c r="K15" s="40">
        <f>SUMIFS('سال 1404'!O$4:O$31,'سال 1404'!L$4:L$31,person[[#This Row],[نام و نام خانوادگی]])</f>
        <v>0</v>
      </c>
      <c r="L15" s="40">
        <f>SUMIFS('سال 1404'!N$4:N$31,'سال 1404'!E$4:E$31,person[[#This Row],[نام و نام خانوادگی]])</f>
        <v>0</v>
      </c>
      <c r="M15" s="40">
        <f>SUMIFS('سال 1404'!O$4:O$31,'سال 1404'!E$4:E$31,person[[#This Row],[نام و نام خانوادگی]])</f>
        <v>0</v>
      </c>
      <c r="N15" s="40">
        <f>person[[#This Row],[مانده طلبکاری]]-person[[#This Row],[مانده بدهی]]</f>
        <v>0</v>
      </c>
    </row>
    <row r="16" spans="1:14" ht="22.05" customHeight="1">
      <c r="B16" s="35" t="s">
        <v>129</v>
      </c>
      <c r="C16" s="35"/>
      <c r="D16" s="35"/>
      <c r="E16" s="35"/>
      <c r="F16" s="35"/>
      <c r="G16" s="35"/>
      <c r="H16" s="37" t="s">
        <v>134</v>
      </c>
      <c r="I16" s="35"/>
      <c r="J16" s="36">
        <f>SUMIFS('سال 1404'!O32:O213,'سال 1404'!L32:L213,#REF!)</f>
        <v>0</v>
      </c>
      <c r="K16" s="36">
        <f>SUMIFS('سال 1404'!O$4:O$31,'سال 1404'!L$4:L$31,person[[#This Row],[نام و نام خانوادگی]])</f>
        <v>0</v>
      </c>
      <c r="L16" s="36">
        <f>SUMIFS('سال 1404'!N$4:N$31,'سال 1404'!E$4:E$31,person[[#This Row],[نام و نام خانوادگی]])</f>
        <v>0</v>
      </c>
      <c r="M16" s="36">
        <f>SUMIFS('سال 1404'!O$4:O$31,'سال 1404'!E$4:E$31,person[[#This Row],[نام و نام خانوادگی]])</f>
        <v>0</v>
      </c>
      <c r="N16" s="36">
        <f>person[[#This Row],[مانده طلبکاری]]-person[[#This Row],[مانده بدهی]]</f>
        <v>0</v>
      </c>
    </row>
    <row r="17" spans="2:14" ht="22.05" customHeight="1">
      <c r="B17" s="35" t="s">
        <v>130</v>
      </c>
      <c r="C17" s="35"/>
      <c r="D17" s="35"/>
      <c r="E17" s="35"/>
      <c r="F17" s="35"/>
      <c r="G17" s="35"/>
      <c r="H17" s="35"/>
      <c r="I17" s="35"/>
      <c r="J17" s="36">
        <f>SUMIFS('سال 1404'!O32:O228,'سال 1404'!L32:L228,#REF!)</f>
        <v>0</v>
      </c>
      <c r="K17" s="36">
        <f>SUMIFS('سال 1404'!O$4:O$31,'سال 1404'!L$4:L$31,person[[#This Row],[نام و نام خانوادگی]])</f>
        <v>0</v>
      </c>
      <c r="L17" s="36">
        <f>SUMIFS('سال 1404'!N$4:N$31,'سال 1404'!E$4:E$31,person[[#This Row],[نام و نام خانوادگی]])</f>
        <v>0</v>
      </c>
      <c r="M17" s="36">
        <f>SUMIFS('سال 1404'!O$4:O$31,'سال 1404'!E$4:E$31,person[[#This Row],[نام و نام خانوادگی]])</f>
        <v>0</v>
      </c>
      <c r="N17" s="36">
        <f>person[[#This Row],[مانده طلبکاری]]-person[[#This Row],[مانده بدهی]]</f>
        <v>0</v>
      </c>
    </row>
    <row r="18" spans="2:14" ht="22.05" customHeight="1">
      <c r="B18" s="35" t="s">
        <v>131</v>
      </c>
      <c r="C18" s="35"/>
      <c r="D18" s="35"/>
      <c r="E18" s="35"/>
      <c r="F18" s="37"/>
      <c r="G18" s="37" t="s">
        <v>126</v>
      </c>
      <c r="H18" s="37"/>
      <c r="I18" s="35"/>
      <c r="J18" s="36">
        <f>SUMIFS('سال 1404'!O32:O285,'سال 1404'!L32:L285,#REF!)</f>
        <v>0</v>
      </c>
      <c r="K18" s="36">
        <f>SUMIFS('سال 1404'!O$4:O$31,'سال 1404'!L$4:L$31,person[[#This Row],[نام و نام خانوادگی]])</f>
        <v>0</v>
      </c>
      <c r="L18" s="36">
        <f>SUMIFS('سال 1404'!N$4:N$31,'سال 1404'!E$4:E$31,person[[#This Row],[نام و نام خانوادگی]])</f>
        <v>0</v>
      </c>
      <c r="M18" s="36">
        <f>SUMIFS('سال 1404'!O$4:O$31,'سال 1404'!E$4:E$31,person[[#This Row],[نام و نام خانوادگی]])</f>
        <v>0</v>
      </c>
      <c r="N18" s="36">
        <f>person[[#This Row],[مانده طلبکاری]]-person[[#This Row],[مانده بدهی]]</f>
        <v>0</v>
      </c>
    </row>
    <row r="19" spans="2:14" ht="22.05" customHeight="1">
      <c r="B19" s="35" t="s">
        <v>132</v>
      </c>
      <c r="C19" s="35"/>
      <c r="D19" s="35"/>
      <c r="E19" s="35"/>
      <c r="F19" s="35" t="s">
        <v>128</v>
      </c>
      <c r="G19" s="35" t="s">
        <v>117</v>
      </c>
      <c r="H19" s="37" t="s">
        <v>134</v>
      </c>
      <c r="I19" s="35"/>
      <c r="J19" s="36">
        <f>SUMIFS('سال 1404'!O32:O278,'سال 1404'!L32:L278,#REF!)</f>
        <v>0</v>
      </c>
      <c r="K19" s="36">
        <f>SUMIFS('سال 1404'!O$4:O$31,'سال 1404'!L$4:L$31,person[[#This Row],[نام و نام خانوادگی]])</f>
        <v>0</v>
      </c>
      <c r="L19" s="36">
        <f>SUMIFS('سال 1404'!N$4:N$31,'سال 1404'!E$4:E$31,person[[#This Row],[نام و نام خانوادگی]])</f>
        <v>0</v>
      </c>
      <c r="M19" s="36">
        <f>SUMIFS('سال 1404'!O$4:O$31,'سال 1404'!E$4:E$31,person[[#This Row],[نام و نام خانوادگی]])</f>
        <v>0</v>
      </c>
      <c r="N19" s="36">
        <f>person[[#This Row],[مانده طلبکاری]]-person[[#This Row],[مانده بدهی]]</f>
        <v>0</v>
      </c>
    </row>
    <row r="20" spans="2:14" ht="22.05" customHeight="1">
      <c r="B20" s="35" t="s">
        <v>135</v>
      </c>
      <c r="C20" s="39"/>
      <c r="D20" s="39"/>
      <c r="E20" s="35"/>
      <c r="F20" s="35"/>
      <c r="G20" s="35" t="s">
        <v>136</v>
      </c>
      <c r="H20" s="39" t="s">
        <v>117</v>
      </c>
      <c r="I20" s="39"/>
      <c r="J20" s="40">
        <f>SUMIFS('سال 1404'!O21:O48,'سال 1404'!L21:L48,N25)</f>
        <v>0</v>
      </c>
      <c r="K20" s="40">
        <f>SUMIFS('سال 1404'!O$4:O$31,'سال 1404'!L$4:L$31,person[[#This Row],[نام و نام خانوادگی]])</f>
        <v>0</v>
      </c>
      <c r="L20" s="40">
        <f>SUMIFS('سال 1404'!N$4:N$31,'سال 1404'!E$4:E$31,person[[#This Row],[نام و نام خانوادگی]])</f>
        <v>0</v>
      </c>
      <c r="M20" s="40">
        <f>SUMIFS('سال 1404'!O$4:O$31,'سال 1404'!E$4:E$31,person[[#This Row],[نام و نام خانوادگی]])</f>
        <v>0</v>
      </c>
      <c r="N20" s="40">
        <f>person[[#This Row],[مانده طلبکاری]]-person[[#This Row],[مانده بدهی]]</f>
        <v>0</v>
      </c>
    </row>
    <row r="21" spans="2:14" ht="22.05" customHeight="1">
      <c r="B21" s="35" t="s">
        <v>136</v>
      </c>
      <c r="C21" s="39"/>
      <c r="D21" s="39"/>
      <c r="E21" s="35"/>
      <c r="F21" s="35"/>
      <c r="G21" s="35"/>
      <c r="H21" s="39"/>
      <c r="I21" s="39"/>
      <c r="J21" s="40">
        <f>SUMIFS('سال 1404'!O22:O49,'سال 1404'!L22:L49,N26)</f>
        <v>0</v>
      </c>
      <c r="K21" s="40">
        <f>SUMIFS('سال 1404'!O$4:O$31,'سال 1404'!L$4:L$31,person[[#This Row],[نام و نام خانوادگی]])</f>
        <v>0</v>
      </c>
      <c r="L21" s="40">
        <f>SUMIFS('سال 1404'!N$4:N$31,'سال 1404'!E$4:E$31,person[[#This Row],[نام و نام خانوادگی]])</f>
        <v>0</v>
      </c>
      <c r="M21" s="40">
        <f>SUMIFS('سال 1404'!O$4:O$31,'سال 1404'!E$4:E$31,person[[#This Row],[نام و نام خانوادگی]])</f>
        <v>0</v>
      </c>
      <c r="N21" s="40">
        <f>person[[#This Row],[مانده طلبکاری]]-person[[#This Row],[مانده بدهی]]</f>
        <v>0</v>
      </c>
    </row>
    <row r="22" spans="2:14" ht="22.05" customHeight="1">
      <c r="B22" s="35" t="s">
        <v>133</v>
      </c>
      <c r="C22" s="39"/>
      <c r="D22" s="39"/>
      <c r="E22" s="35"/>
      <c r="F22" s="35"/>
      <c r="G22" s="35"/>
      <c r="H22" s="39"/>
      <c r="I22" s="39"/>
      <c r="J22" s="40">
        <f>SUMIFS('سال 1404'!O23:O50,'سال 1404'!L23:L50,N27)</f>
        <v>0</v>
      </c>
      <c r="K22" s="40">
        <f>SUMIFS('سال 1404'!O$4:O$31,'سال 1404'!L$4:L$31,person[[#This Row],[نام و نام خانوادگی]])</f>
        <v>0</v>
      </c>
      <c r="L22" s="40">
        <f>SUMIFS('سال 1404'!N$4:N$31,'سال 1404'!E$4:E$31,person[[#This Row],[نام و نام خانوادگی]])</f>
        <v>0</v>
      </c>
      <c r="M22" s="40">
        <f>SUMIFS('سال 1404'!O$4:O$31,'سال 1404'!E$4:E$31,person[[#This Row],[نام و نام خانوادگی]])</f>
        <v>0</v>
      </c>
      <c r="N22" s="40">
        <f>person[[#This Row],[مانده طلبکاری]]-person[[#This Row],[مانده بدهی]]</f>
        <v>0</v>
      </c>
    </row>
    <row r="23" spans="2:14" ht="22.05" customHeight="1">
      <c r="B23" s="35" t="s">
        <v>134</v>
      </c>
      <c r="C23" s="39"/>
      <c r="D23" s="39"/>
      <c r="E23" s="35"/>
      <c r="F23" s="35"/>
      <c r="G23" s="35"/>
      <c r="H23" s="39"/>
      <c r="I23" s="39"/>
      <c r="J23" s="40">
        <f>SUMIFS('سال 1404'!O24:O51,'سال 1404'!L24:L51,N27)</f>
        <v>0</v>
      </c>
      <c r="K23" s="40">
        <f>SUMIFS('سال 1404'!O$4:O$31,'سال 1404'!L$4:L$31,person[[#This Row],[نام و نام خانوادگی]])</f>
        <v>0</v>
      </c>
      <c r="L23" s="40">
        <f>SUMIFS('سال 1404'!N$4:N$31,'سال 1404'!E$4:E$31,person[[#This Row],[نام و نام خانوادگی]])</f>
        <v>0</v>
      </c>
      <c r="M23" s="40">
        <f>SUMIFS('سال 1404'!O$4:O$31,'سال 1404'!E$4:E$31,person[[#This Row],[نام و نام خانوادگی]])</f>
        <v>0</v>
      </c>
      <c r="N23" s="40">
        <f>person[[#This Row],[مانده طلبکاری]]-person[[#This Row],[مانده بدهی]]</f>
        <v>0</v>
      </c>
    </row>
  </sheetData>
  <phoneticPr fontId="8" type="noConversion"/>
  <conditionalFormatting sqref="B3:B23">
    <cfRule type="duplicateValues" dxfId="17" priority="3"/>
    <cfRule type="duplicateValues" dxfId="16" priority="4"/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سال 1404</vt:lpstr>
      <vt:lpstr>سال 1405</vt:lpstr>
      <vt:lpstr>موضوعات</vt:lpstr>
      <vt:lpstr>افراد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hossein r</cp:lastModifiedBy>
  <dcterms:created xsi:type="dcterms:W3CDTF">2015-06-05T18:17:20Z</dcterms:created>
  <dcterms:modified xsi:type="dcterms:W3CDTF">2026-04-28T21:10:28Z</dcterms:modified>
</cp:coreProperties>
</file>